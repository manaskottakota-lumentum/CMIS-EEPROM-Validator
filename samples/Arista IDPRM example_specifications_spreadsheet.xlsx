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lumentuminc-my.sharepoint.com/personal/manas_kottakota_lumentum_com/Documents/Documents/CMIS-EEPROM-Validator/samples/"/>
    </mc:Choice>
  </mc:AlternateContent>
  <xr:revisionPtr revIDLastSave="1" documentId="11_A29AB0C010E7E6DC49C2F36075878CD05D68F588" xr6:coauthVersionLast="47" xr6:coauthVersionMax="47" xr10:uidLastSave="{02D0BAFC-44BA-4DE6-ABA3-B4ED197C6617}"/>
  <bookViews>
    <workbookView xWindow="33645" yWindow="3195" windowWidth="17445" windowHeight="11880" tabRatio="930" firstSheet="5" activeTab="6" xr2:uid="{00000000-000D-0000-FFFF-FFFF00000000}"/>
  </bookViews>
  <sheets>
    <sheet name="Change history" sheetId="1" r:id="rId1"/>
    <sheet name="Threshold summary" sheetId="2" r:id="rId2"/>
    <sheet name="Lower Memory" sheetId="3" r:id="rId3"/>
    <sheet name="Page 00h" sheetId="4" r:id="rId4"/>
    <sheet name="Page 01h" sheetId="5" r:id="rId5"/>
    <sheet name="Page 02h" sheetId="6" r:id="rId6"/>
    <sheet name="Page 03h" sheetId="7" r:id="rId7"/>
    <sheet name="Page 13h" sheetId="8" r:id="rId8"/>
    <sheet name="VDM thresholds" sheetId="9" r:id="rId9"/>
    <sheet name="CDB" sheetId="11" r:id="rId10"/>
    <sheet name="Page 2Fh" sheetId="10" r:id="rId11"/>
    <sheet name="Page 10h" sheetId="12" r:id="rId12"/>
    <sheet name="Page 11h" sheetId="13" r:id="rId13"/>
  </sheets>
  <definedNames>
    <definedName name="_xlnm._FilterDatabase" localSheetId="11" hidden="1">'Page 10h'!$A$1:$H$455</definedName>
    <definedName name="_xlnm._FilterDatabase" localSheetId="12" hidden="1">'Page 11h'!$A$1:$H$346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46" i="13" l="1"/>
  <c r="B345" i="13"/>
  <c r="B344" i="13"/>
  <c r="B343" i="13"/>
  <c r="B342" i="13"/>
  <c r="B341" i="13"/>
  <c r="B340" i="13"/>
  <c r="B339" i="13"/>
  <c r="B338" i="13"/>
  <c r="B337" i="13"/>
  <c r="B336" i="13"/>
  <c r="B335" i="13"/>
  <c r="B334" i="13"/>
  <c r="B333" i="13"/>
  <c r="B332" i="13"/>
  <c r="B331" i="13"/>
  <c r="B330" i="13"/>
  <c r="B329" i="13"/>
  <c r="B328" i="13"/>
  <c r="B327" i="13"/>
  <c r="B326" i="13"/>
  <c r="B325" i="13"/>
  <c r="B324" i="13"/>
  <c r="B323" i="13"/>
  <c r="B322" i="13"/>
  <c r="B321" i="13"/>
  <c r="B320" i="13"/>
  <c r="B319" i="13"/>
  <c r="B318" i="13"/>
  <c r="B317" i="13"/>
  <c r="B316" i="13"/>
  <c r="B315" i="13"/>
  <c r="B314" i="13"/>
  <c r="B313" i="13"/>
  <c r="B312" i="13"/>
  <c r="B311" i="13"/>
  <c r="B310" i="13"/>
  <c r="B309" i="13"/>
  <c r="B308" i="13"/>
  <c r="B307" i="13"/>
  <c r="B306" i="13"/>
  <c r="B305" i="13"/>
  <c r="B304" i="13"/>
  <c r="B303" i="13"/>
  <c r="B302" i="13"/>
  <c r="B301" i="13"/>
  <c r="B300" i="13"/>
  <c r="B299" i="13"/>
  <c r="B298" i="13"/>
  <c r="B297" i="13"/>
  <c r="B296" i="13"/>
  <c r="B295" i="13"/>
  <c r="B294" i="13"/>
  <c r="B293" i="13"/>
  <c r="B292" i="13"/>
  <c r="B291" i="13"/>
  <c r="B290" i="13"/>
  <c r="B289" i="13"/>
  <c r="B288" i="13"/>
  <c r="B287" i="13"/>
  <c r="B286" i="13"/>
  <c r="B285" i="13"/>
  <c r="B284" i="13"/>
  <c r="B283" i="13"/>
  <c r="B282" i="13"/>
  <c r="B281" i="13"/>
  <c r="B280" i="13"/>
  <c r="B279" i="13"/>
  <c r="B278" i="13"/>
  <c r="B277" i="13"/>
  <c r="B276" i="13"/>
  <c r="B275" i="13"/>
  <c r="B274" i="13"/>
  <c r="B273" i="13"/>
  <c r="B272" i="13"/>
  <c r="B271" i="13"/>
  <c r="B270" i="13"/>
  <c r="B269" i="13"/>
  <c r="B268" i="13"/>
  <c r="B267" i="13"/>
  <c r="B266" i="13"/>
  <c r="B265" i="13"/>
  <c r="B264" i="13"/>
  <c r="B263" i="13"/>
  <c r="B262" i="13"/>
  <c r="B261" i="13"/>
  <c r="B260" i="13"/>
  <c r="B259" i="13"/>
  <c r="B258" i="13"/>
  <c r="B257" i="13"/>
  <c r="B256" i="13"/>
  <c r="B255" i="13"/>
  <c r="B254" i="13"/>
  <c r="B253" i="13"/>
  <c r="B252" i="13"/>
  <c r="B251" i="13"/>
  <c r="B250" i="13"/>
  <c r="B249" i="13"/>
  <c r="B248" i="13"/>
  <c r="B247" i="13"/>
  <c r="B246" i="13"/>
  <c r="B245" i="13"/>
  <c r="B244" i="13"/>
  <c r="B243" i="13"/>
  <c r="B242" i="13"/>
  <c r="B241" i="13"/>
  <c r="B240" i="13"/>
  <c r="B239" i="13"/>
  <c r="B238" i="13"/>
  <c r="B237" i="13"/>
  <c r="B236" i="13"/>
  <c r="B235" i="13"/>
  <c r="B234" i="13"/>
  <c r="B233" i="13"/>
  <c r="B232" i="13"/>
  <c r="B231" i="13"/>
  <c r="B230" i="13"/>
  <c r="B229" i="13"/>
  <c r="B228" i="13"/>
  <c r="B227" i="13"/>
  <c r="B226" i="13"/>
  <c r="B225" i="13"/>
  <c r="B224" i="13"/>
  <c r="B223" i="13"/>
  <c r="B222" i="13"/>
  <c r="B221" i="13"/>
  <c r="B220" i="13"/>
  <c r="B219" i="13"/>
  <c r="B218" i="13"/>
  <c r="B217" i="13"/>
  <c r="B216" i="13"/>
  <c r="B215" i="13"/>
  <c r="B214" i="13"/>
  <c r="B213" i="13"/>
  <c r="B212" i="13"/>
  <c r="B211" i="13"/>
  <c r="B210" i="13"/>
  <c r="B209" i="13"/>
  <c r="B208" i="13"/>
  <c r="B207" i="13"/>
  <c r="B206" i="13"/>
  <c r="B205" i="13"/>
  <c r="B204" i="13"/>
  <c r="B203" i="13"/>
  <c r="B202" i="13"/>
  <c r="B201" i="13"/>
  <c r="B200" i="13"/>
  <c r="B199" i="13"/>
  <c r="B198" i="13"/>
  <c r="B197" i="13"/>
  <c r="B196" i="13"/>
  <c r="B195" i="13"/>
  <c r="B194" i="13"/>
  <c r="B193" i="13"/>
  <c r="B192" i="13"/>
  <c r="B191" i="13"/>
  <c r="B190" i="13"/>
  <c r="B189" i="13"/>
  <c r="B188" i="13"/>
  <c r="B187" i="13"/>
  <c r="B186" i="13"/>
  <c r="B185" i="13"/>
  <c r="B184" i="13"/>
  <c r="B183" i="13"/>
  <c r="B182" i="13"/>
  <c r="B181" i="13"/>
  <c r="B180" i="13"/>
  <c r="B179" i="13"/>
  <c r="B178" i="13"/>
  <c r="B177" i="13"/>
  <c r="B176" i="13"/>
  <c r="B175" i="13"/>
  <c r="B174" i="13"/>
  <c r="B173" i="13"/>
  <c r="B172" i="13"/>
  <c r="B171" i="13"/>
  <c r="B170" i="13"/>
  <c r="B169" i="13"/>
  <c r="B168" i="13"/>
  <c r="B167" i="13"/>
  <c r="B166" i="13"/>
  <c r="B165" i="13"/>
  <c r="B164" i="13"/>
  <c r="B163" i="13"/>
  <c r="B162" i="13"/>
  <c r="B161" i="13"/>
  <c r="B160" i="13"/>
  <c r="B159" i="13"/>
  <c r="B158" i="13"/>
  <c r="B157" i="13"/>
  <c r="B156" i="13"/>
  <c r="B155" i="13"/>
  <c r="B154" i="13"/>
  <c r="B153" i="13"/>
  <c r="B152" i="13"/>
  <c r="B151" i="13"/>
  <c r="B150" i="13"/>
  <c r="B149" i="13"/>
  <c r="B148" i="13"/>
  <c r="B147" i="13"/>
  <c r="B146" i="13"/>
  <c r="B145" i="13"/>
  <c r="B144" i="13"/>
  <c r="B143" i="13"/>
  <c r="B142" i="13"/>
  <c r="B141" i="13"/>
  <c r="B140" i="13"/>
  <c r="B139" i="13"/>
  <c r="B138" i="13"/>
  <c r="B137" i="13"/>
  <c r="B136" i="13"/>
  <c r="B135" i="13"/>
  <c r="B134" i="13"/>
  <c r="B133" i="13"/>
  <c r="B132" i="13"/>
  <c r="B131" i="13"/>
  <c r="B130" i="13"/>
  <c r="B129" i="13"/>
  <c r="B128" i="13"/>
  <c r="B127" i="13"/>
  <c r="B126" i="13"/>
  <c r="B125" i="13"/>
  <c r="B124" i="13"/>
  <c r="B123" i="13"/>
  <c r="B122" i="13"/>
  <c r="B121" i="13"/>
  <c r="B120" i="13"/>
  <c r="B119" i="13"/>
  <c r="B118" i="13"/>
  <c r="B117" i="13"/>
  <c r="B116" i="13"/>
  <c r="B115" i="13"/>
  <c r="B114" i="13"/>
  <c r="B113" i="13"/>
  <c r="B112" i="13"/>
  <c r="B111" i="13"/>
  <c r="B110" i="13"/>
  <c r="B109" i="13"/>
  <c r="B108" i="13"/>
  <c r="B107" i="13"/>
  <c r="B106" i="13"/>
  <c r="B105" i="13"/>
  <c r="B104" i="13"/>
  <c r="B103" i="13"/>
  <c r="B102" i="13"/>
  <c r="B101" i="13"/>
  <c r="B100" i="13"/>
  <c r="B99" i="13"/>
  <c r="B98" i="13"/>
  <c r="B97" i="13"/>
  <c r="B96" i="13"/>
  <c r="B95" i="13"/>
  <c r="B94" i="13"/>
  <c r="B93" i="13"/>
  <c r="B92" i="13"/>
  <c r="B91" i="13"/>
  <c r="B90" i="13"/>
  <c r="B89" i="13"/>
  <c r="B88" i="13"/>
  <c r="B87" i="13"/>
  <c r="B86" i="13"/>
  <c r="B85" i="13"/>
  <c r="B84" i="13"/>
  <c r="B83" i="13"/>
  <c r="B82" i="13"/>
  <c r="B81" i="13"/>
  <c r="B80" i="13"/>
  <c r="B79" i="13"/>
  <c r="B78" i="13"/>
  <c r="B77" i="13"/>
  <c r="B76" i="13"/>
  <c r="B75" i="13"/>
  <c r="B74" i="13"/>
  <c r="B73" i="13"/>
  <c r="B72" i="13"/>
  <c r="B71" i="13"/>
  <c r="B70" i="13"/>
  <c r="B69" i="13"/>
  <c r="B68" i="13"/>
  <c r="B67" i="13"/>
  <c r="B66" i="13"/>
  <c r="B65" i="13"/>
  <c r="B64" i="13"/>
  <c r="B63" i="13"/>
  <c r="B62" i="13"/>
  <c r="B61" i="13"/>
  <c r="B60" i="13"/>
  <c r="B59" i="13"/>
  <c r="B58" i="13"/>
  <c r="B57" i="13"/>
  <c r="B56" i="13"/>
  <c r="B55" i="13"/>
  <c r="B54" i="13"/>
  <c r="B53" i="13"/>
  <c r="B52" i="13"/>
  <c r="B51" i="13"/>
  <c r="B50" i="13"/>
  <c r="B49" i="13"/>
  <c r="B48" i="13"/>
  <c r="B47" i="13"/>
  <c r="B46" i="13"/>
  <c r="B45" i="13"/>
  <c r="B44" i="13"/>
  <c r="B43" i="13"/>
  <c r="B42" i="13"/>
  <c r="B41" i="13"/>
  <c r="B40" i="13"/>
  <c r="B39" i="13"/>
  <c r="B38" i="13"/>
  <c r="B37" i="13"/>
  <c r="B36" i="13"/>
  <c r="B35" i="13"/>
  <c r="B34" i="13"/>
  <c r="B33" i="13"/>
  <c r="B32" i="13"/>
  <c r="B31" i="13"/>
  <c r="B30" i="13"/>
  <c r="B29" i="13"/>
  <c r="B28" i="13"/>
  <c r="B27" i="13"/>
  <c r="B26" i="13"/>
  <c r="B25" i="13"/>
  <c r="B24" i="13"/>
  <c r="B23" i="13"/>
  <c r="B22" i="13"/>
  <c r="B21" i="13"/>
  <c r="B20" i="13"/>
  <c r="B19" i="13"/>
  <c r="B18" i="13"/>
  <c r="B17" i="13"/>
  <c r="B16" i="13"/>
  <c r="B15" i="13"/>
  <c r="B14" i="13"/>
  <c r="B13" i="13"/>
  <c r="B12" i="13"/>
  <c r="B11" i="13"/>
  <c r="B10" i="13"/>
  <c r="B9" i="13"/>
  <c r="B8" i="13"/>
  <c r="B7" i="13"/>
  <c r="B6" i="13"/>
  <c r="B5" i="13"/>
  <c r="B4" i="13"/>
  <c r="B3" i="13"/>
  <c r="B2" i="13"/>
  <c r="B455" i="12"/>
  <c r="B454" i="12"/>
  <c r="B453" i="12"/>
  <c r="B452" i="12"/>
  <c r="B451" i="12"/>
  <c r="B450" i="12"/>
  <c r="B449" i="12"/>
  <c r="B448" i="12"/>
  <c r="B447" i="12"/>
  <c r="B446" i="12"/>
  <c r="B445" i="12"/>
  <c r="B444" i="12"/>
  <c r="B443" i="12"/>
  <c r="B442" i="12"/>
  <c r="B441" i="12"/>
  <c r="B440" i="12"/>
  <c r="B439" i="12"/>
  <c r="B438" i="12"/>
  <c r="B437" i="12"/>
  <c r="B436" i="12"/>
  <c r="B435" i="12"/>
  <c r="B434" i="12"/>
  <c r="B433" i="12"/>
  <c r="B432" i="12"/>
  <c r="B431" i="12"/>
  <c r="B430" i="12"/>
  <c r="B429" i="12"/>
  <c r="B428" i="12"/>
  <c r="B427" i="12"/>
  <c r="B426" i="12"/>
  <c r="B425" i="12"/>
  <c r="B424" i="12"/>
  <c r="B423" i="12"/>
  <c r="B422" i="12"/>
  <c r="B421" i="12"/>
  <c r="B420" i="12"/>
  <c r="B419" i="12"/>
  <c r="B418" i="12"/>
  <c r="B417" i="12"/>
  <c r="B416" i="12"/>
  <c r="B415" i="12"/>
  <c r="B414" i="12"/>
  <c r="B413" i="12"/>
  <c r="B412" i="12"/>
  <c r="B411" i="12"/>
  <c r="B410" i="12"/>
  <c r="B409" i="12"/>
  <c r="B408" i="12"/>
  <c r="B407" i="12"/>
  <c r="B406" i="12"/>
  <c r="B405" i="12"/>
  <c r="B404" i="12"/>
  <c r="B403" i="12"/>
  <c r="B402" i="12"/>
  <c r="B401" i="12"/>
  <c r="B400" i="12"/>
  <c r="B399" i="12"/>
  <c r="B398" i="12"/>
  <c r="B397" i="12"/>
  <c r="B396" i="12"/>
  <c r="B395" i="12"/>
  <c r="B394" i="12"/>
  <c r="B393" i="12"/>
  <c r="B392" i="12"/>
  <c r="B391" i="12"/>
  <c r="B390" i="12"/>
  <c r="B389" i="12"/>
  <c r="B388" i="12"/>
  <c r="B387" i="12"/>
  <c r="B386" i="12"/>
  <c r="B385" i="12"/>
  <c r="B384" i="12"/>
  <c r="B383" i="12"/>
  <c r="B382" i="12"/>
  <c r="B381" i="12"/>
  <c r="B380" i="12"/>
  <c r="B379" i="12"/>
  <c r="B378" i="12"/>
  <c r="B377" i="12"/>
  <c r="B376" i="12"/>
  <c r="B375" i="12"/>
  <c r="B374" i="12"/>
  <c r="B373" i="12"/>
  <c r="B372" i="12"/>
  <c r="B371" i="12"/>
  <c r="B370" i="12"/>
  <c r="B369" i="12"/>
  <c r="B368" i="12"/>
  <c r="B367" i="12"/>
  <c r="B366" i="12"/>
  <c r="B365" i="12"/>
  <c r="B364" i="12"/>
  <c r="B363" i="12"/>
  <c r="B362" i="12"/>
  <c r="B361" i="12"/>
  <c r="B360" i="12"/>
  <c r="B359" i="12"/>
  <c r="B358" i="12"/>
  <c r="B357" i="12"/>
  <c r="B356" i="12"/>
  <c r="B355" i="12"/>
  <c r="B354" i="12"/>
  <c r="B353" i="12"/>
  <c r="B352" i="12"/>
  <c r="B351" i="12"/>
  <c r="B350" i="12"/>
  <c r="B349" i="12"/>
  <c r="B348" i="12"/>
  <c r="B347" i="12"/>
  <c r="B346" i="12"/>
  <c r="B345" i="12"/>
  <c r="B344" i="12"/>
  <c r="B343" i="12"/>
  <c r="B342" i="12"/>
  <c r="B341" i="12"/>
  <c r="B340" i="12"/>
  <c r="B339" i="12"/>
  <c r="B338" i="12"/>
  <c r="B337" i="12"/>
  <c r="B336" i="12"/>
  <c r="B335" i="12"/>
  <c r="B334" i="12"/>
  <c r="B333" i="12"/>
  <c r="B332" i="12"/>
  <c r="B331" i="12"/>
  <c r="B330" i="12"/>
  <c r="B329" i="12"/>
  <c r="B328" i="12"/>
  <c r="B327" i="12"/>
  <c r="B326" i="12"/>
  <c r="B325" i="12"/>
  <c r="B324" i="12"/>
  <c r="B323" i="12"/>
  <c r="B322" i="12"/>
  <c r="B321" i="12"/>
  <c r="B320" i="12"/>
  <c r="B319" i="12"/>
  <c r="B318" i="12"/>
  <c r="B317" i="12"/>
  <c r="B316" i="12"/>
  <c r="B315" i="12"/>
  <c r="B314" i="12"/>
  <c r="B313" i="12"/>
  <c r="B312" i="12"/>
  <c r="B311" i="12"/>
  <c r="B310" i="12"/>
  <c r="B309" i="12"/>
  <c r="B308" i="12"/>
  <c r="B307" i="12"/>
  <c r="B306" i="12"/>
  <c r="B305" i="12"/>
  <c r="B304" i="12"/>
  <c r="B303" i="12"/>
  <c r="B302" i="12"/>
  <c r="B301" i="12"/>
  <c r="B300" i="12"/>
  <c r="B299" i="12"/>
  <c r="B298" i="12"/>
  <c r="B297" i="12"/>
  <c r="B296" i="12"/>
  <c r="B295" i="12"/>
  <c r="B294" i="12"/>
  <c r="B293" i="12"/>
  <c r="B292" i="12"/>
  <c r="B291" i="12"/>
  <c r="B290" i="12"/>
  <c r="B289" i="12"/>
  <c r="B288" i="12"/>
  <c r="B287" i="12"/>
  <c r="B286" i="12"/>
  <c r="B285" i="12"/>
  <c r="B284" i="12"/>
  <c r="B283" i="12"/>
  <c r="B282" i="12"/>
  <c r="B281" i="12"/>
  <c r="B280" i="12"/>
  <c r="B279" i="12"/>
  <c r="B278" i="12"/>
  <c r="B277" i="12"/>
  <c r="B276" i="12"/>
  <c r="B275" i="12"/>
  <c r="B274" i="12"/>
  <c r="B273" i="12"/>
  <c r="B272" i="12"/>
  <c r="B271" i="12"/>
  <c r="B270" i="12"/>
  <c r="B269" i="12"/>
  <c r="B268" i="12"/>
  <c r="B267" i="12"/>
  <c r="B266" i="12"/>
  <c r="B265" i="12"/>
  <c r="B264" i="12"/>
  <c r="B263" i="12"/>
  <c r="B262" i="12"/>
  <c r="B261" i="12"/>
  <c r="B260" i="12"/>
  <c r="B259" i="12"/>
  <c r="B258" i="12"/>
  <c r="B257" i="12"/>
  <c r="B256" i="12"/>
  <c r="B255" i="12"/>
  <c r="B254" i="12"/>
  <c r="B253" i="12"/>
  <c r="B252" i="12"/>
  <c r="B251" i="12"/>
  <c r="B250" i="12"/>
  <c r="B249" i="12"/>
  <c r="B248" i="12"/>
  <c r="B247" i="12"/>
  <c r="B246" i="12"/>
  <c r="B245" i="12"/>
  <c r="B244" i="12"/>
  <c r="B243" i="12"/>
  <c r="B242" i="12"/>
  <c r="B241" i="12"/>
  <c r="B240" i="12"/>
  <c r="B239" i="12"/>
  <c r="B238" i="12"/>
  <c r="B237" i="12"/>
  <c r="B236" i="12"/>
  <c r="B235" i="12"/>
  <c r="B234" i="12"/>
  <c r="B233" i="12"/>
  <c r="B232" i="12"/>
  <c r="B231" i="12"/>
  <c r="B230" i="12"/>
  <c r="B229" i="12"/>
  <c r="B228" i="12"/>
  <c r="B227" i="12"/>
  <c r="B226" i="12"/>
  <c r="B225" i="12"/>
  <c r="B224" i="12"/>
  <c r="B223" i="12"/>
  <c r="B222" i="12"/>
  <c r="B221" i="12"/>
  <c r="B220" i="12"/>
  <c r="B219" i="12"/>
  <c r="B218" i="12"/>
  <c r="B217" i="12"/>
  <c r="B216" i="12"/>
  <c r="B215" i="12"/>
  <c r="B214" i="12"/>
  <c r="B213" i="12"/>
  <c r="B212" i="12"/>
  <c r="B211" i="12"/>
  <c r="B210" i="12"/>
  <c r="B209" i="12"/>
  <c r="B208" i="12"/>
  <c r="B207" i="12"/>
  <c r="B206" i="12"/>
  <c r="B205" i="12"/>
  <c r="B204" i="12"/>
  <c r="B203" i="12"/>
  <c r="B202" i="12"/>
  <c r="B201" i="12"/>
  <c r="B200" i="12"/>
  <c r="B199" i="12"/>
  <c r="B198" i="12"/>
  <c r="B197" i="12"/>
  <c r="B196" i="12"/>
  <c r="B195" i="12"/>
  <c r="B194" i="12"/>
  <c r="B193" i="12"/>
  <c r="B192" i="12"/>
  <c r="B191" i="12"/>
  <c r="B190" i="12"/>
  <c r="B189" i="12"/>
  <c r="B188" i="12"/>
  <c r="B187" i="12"/>
  <c r="B186" i="12"/>
  <c r="B185" i="12"/>
  <c r="B184" i="12"/>
  <c r="B183" i="12"/>
  <c r="B182" i="12"/>
  <c r="B181" i="12"/>
  <c r="B180" i="12"/>
  <c r="B179" i="12"/>
  <c r="B178" i="12"/>
  <c r="B177" i="12"/>
  <c r="B176" i="12"/>
  <c r="B175" i="12"/>
  <c r="B174" i="12"/>
  <c r="B173" i="12"/>
  <c r="B172" i="12"/>
  <c r="B171" i="12"/>
  <c r="B170" i="12"/>
  <c r="B169" i="12"/>
  <c r="B168" i="12"/>
  <c r="B167" i="12"/>
  <c r="B166" i="12"/>
  <c r="B165" i="12"/>
  <c r="B164" i="12"/>
  <c r="B163" i="12"/>
  <c r="B162" i="12"/>
  <c r="B161" i="12"/>
  <c r="B160" i="12"/>
  <c r="B159" i="12"/>
  <c r="B158" i="12"/>
  <c r="B157" i="12"/>
  <c r="B156" i="12"/>
  <c r="B155" i="12"/>
  <c r="B154" i="12"/>
  <c r="B153" i="12"/>
  <c r="B152" i="12"/>
  <c r="B151" i="12"/>
  <c r="B150" i="12"/>
  <c r="B149" i="12"/>
  <c r="B148" i="12"/>
  <c r="B147" i="12"/>
  <c r="B146" i="12"/>
  <c r="B145" i="12"/>
  <c r="B144" i="12"/>
  <c r="B143" i="12"/>
  <c r="B142" i="12"/>
  <c r="B141" i="12"/>
  <c r="B140" i="12"/>
  <c r="B139" i="12"/>
  <c r="B138" i="12"/>
  <c r="B137" i="12"/>
  <c r="B136" i="12"/>
  <c r="B135" i="12"/>
  <c r="B134" i="12"/>
  <c r="B133" i="12"/>
  <c r="B132" i="12"/>
  <c r="B131" i="12"/>
  <c r="B130" i="12"/>
  <c r="B129" i="12"/>
  <c r="B128" i="12"/>
  <c r="B127" i="12"/>
  <c r="B126" i="12"/>
  <c r="B125" i="12"/>
  <c r="B124" i="12"/>
  <c r="B123" i="12"/>
  <c r="B122" i="12"/>
  <c r="B121" i="12"/>
  <c r="B120" i="12"/>
  <c r="B119" i="12"/>
  <c r="B118" i="12"/>
  <c r="B117" i="12"/>
  <c r="B116" i="12"/>
  <c r="B115" i="12"/>
  <c r="B114" i="12"/>
  <c r="B113" i="12"/>
  <c r="B112" i="12"/>
  <c r="B111" i="12"/>
  <c r="B110" i="12"/>
  <c r="B109" i="12"/>
  <c r="B108" i="12"/>
  <c r="B107" i="12"/>
  <c r="B106" i="12"/>
  <c r="B105" i="12"/>
  <c r="B104" i="12"/>
  <c r="B103" i="12"/>
  <c r="B102" i="12"/>
  <c r="B101" i="12"/>
  <c r="B100" i="12"/>
  <c r="B99" i="12"/>
  <c r="B98" i="12"/>
  <c r="B97" i="12"/>
  <c r="B96" i="12"/>
  <c r="B95" i="12"/>
  <c r="B94" i="12"/>
  <c r="B93" i="12"/>
  <c r="B92" i="12"/>
  <c r="B91" i="12"/>
  <c r="B90" i="12"/>
  <c r="B89" i="12"/>
  <c r="B88" i="12"/>
  <c r="B87" i="12"/>
  <c r="B86" i="12"/>
  <c r="B85" i="12"/>
  <c r="B84" i="12"/>
  <c r="B83" i="12"/>
  <c r="B82" i="12"/>
  <c r="B81" i="12"/>
  <c r="B80" i="12"/>
  <c r="B79" i="12"/>
  <c r="B78" i="12"/>
  <c r="B77" i="12"/>
  <c r="B76" i="12"/>
  <c r="B75" i="12"/>
  <c r="B74" i="12"/>
  <c r="B73" i="12"/>
  <c r="B72" i="12"/>
  <c r="B71" i="12"/>
  <c r="B70" i="12"/>
  <c r="B69" i="12"/>
  <c r="B68" i="12"/>
  <c r="B67" i="12"/>
  <c r="B66" i="12"/>
  <c r="B65" i="12"/>
  <c r="B64" i="12"/>
  <c r="B63" i="12"/>
  <c r="B62" i="12"/>
  <c r="B61" i="12"/>
  <c r="B60" i="12"/>
  <c r="B59" i="12"/>
  <c r="B58" i="12"/>
  <c r="B57" i="12"/>
  <c r="B56" i="12"/>
  <c r="B55" i="12"/>
  <c r="B54" i="12"/>
  <c r="B53" i="12"/>
  <c r="B52" i="12"/>
  <c r="B51" i="12"/>
  <c r="B50" i="12"/>
  <c r="B49" i="12"/>
  <c r="B48" i="12"/>
  <c r="B47" i="12"/>
  <c r="B46" i="12"/>
  <c r="B45" i="12"/>
  <c r="B44" i="12"/>
  <c r="B43" i="12"/>
  <c r="B42" i="12"/>
  <c r="B41" i="12"/>
  <c r="B40" i="12"/>
  <c r="B39" i="12"/>
  <c r="B38" i="12"/>
  <c r="B37" i="12"/>
  <c r="B36" i="12"/>
  <c r="B35" i="12"/>
  <c r="B34" i="12"/>
  <c r="B33" i="12"/>
  <c r="B32" i="12"/>
  <c r="B31" i="12"/>
  <c r="B30" i="12"/>
  <c r="B29" i="12"/>
  <c r="B28" i="12"/>
  <c r="B27" i="12"/>
  <c r="B26" i="12"/>
  <c r="B25" i="12"/>
  <c r="B24" i="12"/>
  <c r="B23" i="12"/>
  <c r="B22" i="12"/>
  <c r="B21" i="12"/>
  <c r="B20" i="12"/>
  <c r="B19" i="12"/>
  <c r="B18" i="12"/>
  <c r="B17" i="12"/>
  <c r="B16" i="12"/>
  <c r="B15" i="12"/>
  <c r="B14" i="12"/>
  <c r="B13" i="12"/>
  <c r="B12" i="12"/>
  <c r="B11" i="12"/>
  <c r="B10" i="12"/>
  <c r="B9" i="12"/>
  <c r="B8" i="12"/>
  <c r="B7" i="12"/>
  <c r="B6" i="12"/>
  <c r="B5" i="12"/>
  <c r="B4" i="12"/>
  <c r="B3" i="12"/>
  <c r="B2" i="12"/>
  <c r="G10" i="9"/>
  <c r="F10" i="9"/>
  <c r="G9" i="9"/>
  <c r="F9" i="9"/>
  <c r="G8" i="9"/>
  <c r="F8" i="9"/>
  <c r="G7" i="9"/>
  <c r="F7" i="9"/>
  <c r="B414" i="8"/>
  <c r="B413" i="8"/>
  <c r="B412" i="8"/>
  <c r="B411" i="8"/>
  <c r="B410" i="8"/>
  <c r="B409" i="8"/>
  <c r="B408" i="8"/>
  <c r="B407" i="8"/>
  <c r="B406" i="8"/>
  <c r="B405" i="8"/>
  <c r="B404" i="8"/>
  <c r="B403" i="8"/>
  <c r="B402" i="8"/>
  <c r="B401" i="8"/>
  <c r="B400" i="8"/>
  <c r="B399" i="8"/>
  <c r="B398" i="8"/>
  <c r="B397" i="8"/>
  <c r="B396" i="8"/>
  <c r="B395" i="8"/>
  <c r="B394" i="8"/>
  <c r="B393" i="8"/>
  <c r="B392" i="8"/>
  <c r="B391" i="8"/>
  <c r="B390" i="8"/>
  <c r="B389" i="8"/>
  <c r="B388" i="8"/>
  <c r="B387" i="8"/>
  <c r="B386" i="8"/>
  <c r="B385" i="8"/>
  <c r="B384" i="8"/>
  <c r="B383" i="8"/>
  <c r="B374" i="8"/>
  <c r="B366" i="8"/>
  <c r="B358" i="8"/>
  <c r="B350" i="8"/>
  <c r="B342" i="8"/>
  <c r="B334" i="8"/>
  <c r="B333" i="8"/>
  <c r="B331" i="8"/>
  <c r="B328" i="8"/>
  <c r="B327" i="8"/>
  <c r="B326" i="8"/>
  <c r="B325" i="8"/>
  <c r="B324" i="8"/>
  <c r="B323" i="8"/>
  <c r="B322" i="8"/>
  <c r="B321" i="8"/>
  <c r="B313" i="8"/>
  <c r="B305" i="8"/>
  <c r="B297" i="8"/>
  <c r="B289" i="8"/>
  <c r="B288" i="8"/>
  <c r="B285" i="8"/>
  <c r="B279" i="8"/>
  <c r="B277" i="8"/>
  <c r="B275" i="8"/>
  <c r="B273" i="8"/>
  <c r="B271" i="8"/>
  <c r="B269" i="8"/>
  <c r="B261" i="8"/>
  <c r="B253" i="8"/>
  <c r="B245" i="8"/>
  <c r="B237" i="8"/>
  <c r="B235" i="8"/>
  <c r="B233" i="8"/>
  <c r="B231" i="8"/>
  <c r="B229" i="8"/>
  <c r="B221" i="8"/>
  <c r="B213" i="8"/>
  <c r="B205" i="8"/>
  <c r="B197" i="8"/>
  <c r="B195" i="8"/>
  <c r="B193" i="8"/>
  <c r="B191" i="8"/>
  <c r="B189" i="8"/>
  <c r="B181" i="8"/>
  <c r="B173" i="8"/>
  <c r="B165" i="8"/>
  <c r="B157" i="8"/>
  <c r="B155" i="8"/>
  <c r="B153" i="8"/>
  <c r="B151" i="8"/>
  <c r="B149" i="8"/>
  <c r="B141" i="8"/>
  <c r="B133" i="8"/>
  <c r="B125" i="8"/>
  <c r="B117" i="8"/>
  <c r="B116" i="8"/>
  <c r="B108" i="8"/>
  <c r="B100" i="8"/>
  <c r="B96" i="8"/>
  <c r="B88" i="8"/>
  <c r="B80" i="8"/>
  <c r="B72" i="8"/>
  <c r="B64" i="8"/>
  <c r="B56" i="8"/>
  <c r="B48" i="8"/>
  <c r="B40" i="8"/>
  <c r="B32" i="8"/>
  <c r="B24" i="8"/>
  <c r="B16" i="8"/>
  <c r="B10" i="8"/>
  <c r="B2" i="8"/>
  <c r="B40" i="6"/>
  <c r="B172" i="5"/>
  <c r="B167" i="5"/>
  <c r="B166" i="5"/>
  <c r="B164" i="5"/>
  <c r="B163" i="5"/>
  <c r="B162" i="5"/>
  <c r="B161" i="5"/>
  <c r="B159" i="5"/>
  <c r="B158" i="5"/>
  <c r="B157" i="5"/>
  <c r="B156" i="5"/>
  <c r="B154" i="5"/>
  <c r="B153" i="5"/>
  <c r="B152" i="5"/>
  <c r="B151" i="5"/>
  <c r="B149" i="5"/>
  <c r="B148" i="5"/>
  <c r="B147" i="5"/>
  <c r="B146" i="5"/>
  <c r="B144" i="5"/>
  <c r="B143" i="5"/>
  <c r="B142" i="5"/>
  <c r="B141" i="5"/>
  <c r="B139" i="5"/>
  <c r="B138" i="5"/>
  <c r="B137" i="5"/>
  <c r="B136" i="5"/>
  <c r="B134" i="5"/>
  <c r="B133" i="5"/>
  <c r="B132" i="5"/>
  <c r="B130" i="5"/>
  <c r="B129" i="5"/>
  <c r="B128" i="5"/>
  <c r="B127" i="5"/>
  <c r="B126" i="5"/>
  <c r="B125" i="5"/>
  <c r="B124" i="5"/>
  <c r="B123" i="5"/>
  <c r="B122" i="5"/>
  <c r="B121" i="5"/>
  <c r="B120" i="5"/>
  <c r="B119" i="5"/>
  <c r="B118" i="5"/>
  <c r="B117" i="5"/>
  <c r="B116" i="5"/>
  <c r="B113" i="5"/>
  <c r="B111" i="5"/>
  <c r="B109" i="5"/>
  <c r="B107" i="5"/>
  <c r="B104" i="5"/>
  <c r="B103" i="5"/>
  <c r="B99" i="5"/>
  <c r="B92" i="5"/>
  <c r="B85" i="5"/>
  <c r="B80" i="5"/>
  <c r="B73" i="5"/>
  <c r="B69" i="5"/>
  <c r="B64" i="5"/>
  <c r="B59" i="5"/>
  <c r="B52" i="5"/>
  <c r="B50" i="5"/>
  <c r="B45" i="5"/>
  <c r="B44" i="5"/>
  <c r="B37" i="5"/>
  <c r="B36" i="5"/>
  <c r="B34" i="5"/>
  <c r="B33" i="5"/>
  <c r="B26" i="5"/>
  <c r="B24" i="5"/>
  <c r="B22" i="5"/>
  <c r="B15" i="5"/>
  <c r="B12" i="5"/>
  <c r="B11" i="5"/>
  <c r="B10" i="5"/>
  <c r="B9" i="5"/>
  <c r="B8" i="5"/>
  <c r="B6" i="5"/>
  <c r="B5" i="5"/>
  <c r="B4" i="5"/>
  <c r="B3" i="5"/>
  <c r="B2" i="5"/>
  <c r="B37" i="4"/>
  <c r="B36" i="4"/>
  <c r="B33" i="4"/>
  <c r="B32" i="4"/>
  <c r="B30" i="4"/>
  <c r="B22" i="4"/>
  <c r="B21" i="4"/>
  <c r="B20" i="4"/>
  <c r="B19" i="4"/>
  <c r="B18" i="4"/>
  <c r="B17" i="4"/>
  <c r="B16" i="4"/>
  <c r="B15" i="4"/>
  <c r="B13" i="4"/>
  <c r="B12" i="4"/>
  <c r="B10" i="4"/>
  <c r="B2" i="4"/>
  <c r="B177" i="3"/>
  <c r="B176" i="3"/>
  <c r="B173" i="3"/>
  <c r="B171" i="3"/>
  <c r="B170" i="3"/>
  <c r="B169" i="3"/>
  <c r="B168" i="3"/>
  <c r="B166" i="3"/>
  <c r="B165" i="3"/>
  <c r="B164" i="3"/>
  <c r="B163" i="3"/>
  <c r="B161" i="3"/>
  <c r="B160" i="3"/>
  <c r="B159" i="3"/>
  <c r="B158" i="3"/>
  <c r="B156" i="3"/>
  <c r="B155" i="3"/>
  <c r="B154" i="3"/>
  <c r="B153" i="3"/>
  <c r="B151" i="3"/>
  <c r="B150" i="3"/>
  <c r="B149" i="3"/>
  <c r="B148" i="3"/>
  <c r="B146" i="3"/>
  <c r="B145" i="3"/>
  <c r="B144" i="3"/>
  <c r="B143" i="3"/>
  <c r="B141" i="3"/>
  <c r="B140" i="3"/>
  <c r="B139" i="3"/>
  <c r="B138" i="3"/>
  <c r="B136" i="3"/>
  <c r="B135" i="3"/>
  <c r="B134" i="3"/>
  <c r="B133" i="3"/>
  <c r="B131" i="3"/>
  <c r="B130" i="3"/>
  <c r="B128" i="3"/>
  <c r="B126" i="3"/>
  <c r="B124" i="3"/>
  <c r="B123" i="3"/>
  <c r="B120" i="3"/>
  <c r="B119" i="3"/>
  <c r="B118" i="3"/>
  <c r="B117" i="3"/>
  <c r="B114" i="3"/>
  <c r="B111" i="3"/>
  <c r="B110" i="3"/>
  <c r="B109" i="3"/>
  <c r="B101" i="3"/>
  <c r="B93" i="3"/>
  <c r="B85" i="3"/>
  <c r="B79" i="3"/>
  <c r="B77" i="3"/>
  <c r="B75" i="3"/>
  <c r="B69" i="3"/>
  <c r="B62" i="3"/>
  <c r="B61" i="3"/>
  <c r="B53" i="3"/>
  <c r="B45" i="3"/>
  <c r="B37" i="3"/>
  <c r="B31" i="3"/>
  <c r="B26" i="3"/>
  <c r="B21" i="3"/>
  <c r="B16" i="3"/>
  <c r="B11" i="3"/>
  <c r="B8" i="3"/>
  <c r="B4" i="3"/>
  <c r="B3" i="3"/>
  <c r="B2" i="3"/>
  <c r="J16" i="2"/>
  <c r="I16" i="2"/>
  <c r="J15" i="2"/>
  <c r="I15" i="2"/>
  <c r="J14" i="2"/>
  <c r="I14" i="2"/>
  <c r="J13" i="2"/>
  <c r="I13" i="2"/>
  <c r="B11" i="10"/>
  <c r="B7" i="10"/>
  <c r="B2" i="10"/>
</calcChain>
</file>

<file path=xl/sharedStrings.xml><?xml version="1.0" encoding="utf-8"?>
<sst xmlns="http://schemas.openxmlformats.org/spreadsheetml/2006/main" count="7878" uniqueCount="2458">
  <si>
    <t>Byte</t>
  </si>
  <si>
    <t>Hex</t>
  </si>
  <si>
    <t>Bits</t>
  </si>
  <si>
    <t>Field Name</t>
  </si>
  <si>
    <t>Type</t>
  </si>
  <si>
    <t>MSFT spec</t>
  </si>
  <si>
    <t>Description</t>
  </si>
  <si>
    <t>7-3</t>
  </si>
  <si>
    <t>Reserved</t>
  </si>
  <si>
    <t>RO</t>
  </si>
  <si>
    <t>00000b</t>
  </si>
  <si>
    <t>PowerSavingSupport</t>
  </si>
  <si>
    <t>0b</t>
  </si>
  <si>
    <t>1-0</t>
  </si>
  <si>
    <t>VDMSupport</t>
  </si>
  <si>
    <t>11b</t>
  </si>
  <si>
    <t>129-130</t>
  </si>
  <si>
    <t>81-82</t>
  </si>
  <si>
    <t>7-0</t>
  </si>
  <si>
    <t>FineIntervalLength</t>
  </si>
  <si>
    <t>13h 88h</t>
  </si>
  <si>
    <t>131-143</t>
  </si>
  <si>
    <t>83-8F</t>
  </si>
  <si>
    <t>00h 00h 00h 00h 00h 00h 00h 00h 00h 00h 00h 00h 00h</t>
  </si>
  <si>
    <t>FreezeRequest</t>
  </si>
  <si>
    <t>RW</t>
  </si>
  <si>
    <t>PowerSavingMode</t>
  </si>
  <si>
    <t>RW Adv.</t>
  </si>
  <si>
    <t>5-2</t>
  </si>
  <si>
    <t>MonitoringDutyCycle</t>
  </si>
  <si>
    <t>0000b</t>
  </si>
  <si>
    <t>U4: k, 0 &lt;= k &lt;= 10
The module processes only a given fraction, min(k,10)*10%, of the samples of each observable that would normally be processed. The sub-sampling rhythm is not specified and may be different for different observables.</t>
  </si>
  <si>
    <t>00b</t>
  </si>
  <si>
    <t>FreezeDone</t>
  </si>
  <si>
    <t>UnfreezeDone</t>
  </si>
  <si>
    <t>5-0</t>
  </si>
  <si>
    <t>000000b</t>
  </si>
  <si>
    <t>146-255</t>
  </si>
  <si>
    <t>92-FF</t>
  </si>
  <si>
    <t>00h 00h 00h 00h 00h 00h 00h 00h 00h 00h 00h 00h 00h 00h 00h 00h 00h 00h 00h 00h 00h 00h 00h 00h 00h 00h 00h 00h 00h 00h 00h 00h 00h 00h 00h 00h 00h 00h 00h 00h 00h 00h 00h 00h 00h 00h 00h 00h 00h 00h 00h 00h 00h 00h 00h 00h 00h 00h 00h 00h 00h 00h 00h 00h 00h 00h 00h 00h 00h 00h 00h 00h 00h 00h 00h 00h 00h 00h 00h 00h 00h 00h 00h 00h 00h 00h 00h 00h 00h 00h 00h 00h 00h 00h 00h 00h 00h 00h 00h 00h 00h 00h 00h 00h 00h 00h 00h 00h 00h 00h</t>
  </si>
  <si>
    <t>#</t>
  </si>
  <si>
    <t>Version</t>
  </si>
  <si>
    <t>Date</t>
  </si>
  <si>
    <t>Descriptions</t>
  </si>
  <si>
    <t>v1.0</t>
  </si>
  <si>
    <t>1. Specify the MSFT requirements for fixed registers.
2. Specify the mandatory features by MSFT in the CDB pages.</t>
  </si>
  <si>
    <t>v1.1</t>
  </si>
  <si>
    <t>1. Define a MSFT customized feature DSP Temperature Monitor in Lower page byte18-19h.
2. Define a MSFT customized feature to turn the VDM sampling rate to 100% in page2Fh byte90h bit5.
3. Specify the RxLOSA/D range.
4. Revise the laser high alarm/warning thresholds in "Threshold summary" sheet.</t>
  </si>
  <si>
    <t>v1.2</t>
  </si>
  <si>
    <t>1. Revise the VDM duty cycle definition in Page2Fh, follows the CMIS5.4 definition.
2. Adjust the high alarm/warning thresholds for SNR and LTP to the maximum value to ensure it won't be triggered.</t>
  </si>
  <si>
    <t>low alarm</t>
  </si>
  <si>
    <t>low warn</t>
  </si>
  <si>
    <t>high warn</t>
  </si>
  <si>
    <t>high alarm</t>
  </si>
  <si>
    <t>Case Temp</t>
  </si>
  <si>
    <t>voltage</t>
  </si>
  <si>
    <t>TX power</t>
  </si>
  <si>
    <t>RX power</t>
  </si>
  <si>
    <t>*</t>
  </si>
  <si>
    <t>TX bias</t>
  </si>
  <si>
    <t>LOSA</t>
  </si>
  <si>
    <t>&lt;=-10</t>
  </si>
  <si>
    <t>LOSD</t>
  </si>
  <si>
    <t>&gt;=-8</t>
  </si>
  <si>
    <t>Type ID</t>
  </si>
  <si>
    <t>Observable Type</t>
  </si>
  <si>
    <t>Data Type</t>
  </si>
  <si>
    <t>Unit Scale</t>
  </si>
  <si>
    <t>Unit</t>
  </si>
  <si>
    <t>Required</t>
  </si>
  <si>
    <t>Low Alarm</t>
  </si>
  <si>
    <t>Low Warn</t>
  </si>
  <si>
    <t>High Warn</t>
  </si>
  <si>
    <t>High Alarm</t>
  </si>
  <si>
    <t>Laser Temp</t>
  </si>
  <si>
    <t>S16</t>
  </si>
  <si>
    <t>1/256</t>
  </si>
  <si>
    <t>℃</t>
  </si>
  <si>
    <t>Yes</t>
  </si>
  <si>
    <t>-5</t>
  </si>
  <si>
    <t>SNR Media</t>
  </si>
  <si>
    <t>U16</t>
  </si>
  <si>
    <t>dB</t>
  </si>
  <si>
    <t>SNR Host</t>
  </si>
  <si>
    <t>PAM4 Level Media</t>
  </si>
  <si>
    <t>PAM4 Level Host</t>
  </si>
  <si>
    <t>PreFEC BER Min Host</t>
  </si>
  <si>
    <t>F16</t>
  </si>
  <si>
    <t>N/A</t>
  </si>
  <si>
    <t>PreFEC BER Max Host</t>
  </si>
  <si>
    <t>PreFEC BER Ave Host</t>
  </si>
  <si>
    <t>PreFEC BER Cur Host</t>
  </si>
  <si>
    <t>FERC Min Host</t>
  </si>
  <si>
    <t>FERC Max Host</t>
  </si>
  <si>
    <t>FERC Ave Host</t>
  </si>
  <si>
    <t>FERC Cur Host</t>
  </si>
  <si>
    <t>FERC Total Accumulated Host</t>
  </si>
  <si>
    <t>SEWmax Min Host</t>
  </si>
  <si>
    <t>SEWmax Max Host</t>
  </si>
  <si>
    <t>SEWmax Ave Host</t>
  </si>
  <si>
    <t>SEWmax Cur Host</t>
  </si>
  <si>
    <t>PreFEC BER Min Media</t>
  </si>
  <si>
    <t>PreFEC BER Max Media</t>
  </si>
  <si>
    <t>PreFEC BER Ave Media</t>
  </si>
  <si>
    <t>PreFEC BER Cur Media</t>
  </si>
  <si>
    <t>FERC Min Media</t>
  </si>
  <si>
    <t>FERC Max Media</t>
  </si>
  <si>
    <t>FERC Ave Media</t>
  </si>
  <si>
    <t>FERC Cur Media</t>
  </si>
  <si>
    <t>FERC Total Accumulated Media</t>
  </si>
  <si>
    <t>SEWmax Min Media</t>
  </si>
  <si>
    <t>SEWmax Max Media</t>
  </si>
  <si>
    <t>SEWmax Ave Media</t>
  </si>
  <si>
    <t>SEWmax Cur Media</t>
  </si>
  <si>
    <t>SFF8024Identifier</t>
  </si>
  <si>
    <t>RO Rqd.</t>
  </si>
  <si>
    <t>19h</t>
  </si>
  <si>
    <t>OSFP 8X Pluggable Transceiver</t>
  </si>
  <si>
    <t>CmisRevision</t>
  </si>
  <si>
    <t>52h</t>
  </si>
  <si>
    <t>CMIS 5.3</t>
  </si>
  <si>
    <t>MemoryModel</t>
  </si>
  <si>
    <t>Paged memory</t>
  </si>
  <si>
    <t>SteppedConfigOnly</t>
  </si>
  <si>
    <t>Module supports intervention-free reconfiguration</t>
  </si>
  <si>
    <t xml:space="preserve"> 5-2</t>
  </si>
  <si>
    <t>MciMaxSpeed</t>
  </si>
  <si>
    <t>0001b</t>
  </si>
  <si>
    <t>AutoCommissioning</t>
  </si>
  <si>
    <t>7-4</t>
  </si>
  <si>
    <t>3-1</t>
  </si>
  <si>
    <t>ModuleState</t>
  </si>
  <si>
    <t>011b</t>
  </si>
  <si>
    <t>InterruptDeasserted</t>
  </si>
  <si>
    <t>07h</t>
  </si>
  <si>
    <t>FlagsSummaryBank0Page2Ch</t>
  </si>
  <si>
    <t>RO Adv.</t>
  </si>
  <si>
    <t>1b</t>
  </si>
  <si>
    <t>FlagsSummaryBank0Page14h</t>
  </si>
  <si>
    <t>FlagsSummaryBank0Page12h</t>
  </si>
  <si>
    <t>FlagsSummaryBank0Page11h</t>
  </si>
  <si>
    <t>08h</t>
  </si>
  <si>
    <t>FlagsSummaryBank1Page2Ch</t>
  </si>
  <si>
    <t>FlagsSummaryBank1Page14h</t>
  </si>
  <si>
    <t>FlagsSummaryBank1Page12h</t>
  </si>
  <si>
    <t>FlagsSummaryBank1Page11h</t>
  </si>
  <si>
    <t>00h</t>
  </si>
  <si>
    <t>FlagsSummaryBank2Page2Ch</t>
  </si>
  <si>
    <t>FlagsSummaryBank2Page14h</t>
  </si>
  <si>
    <t>FlagsSummaryBank2Page12h</t>
  </si>
  <si>
    <t>FlagsSummaryBank2Page11h</t>
  </si>
  <si>
    <t>FlagsSummaryBank3Page2Ch</t>
  </si>
  <si>
    <t>FlagsSummaryBank3Page14h</t>
  </si>
  <si>
    <t>FlagsSummaryBank3Page12h</t>
  </si>
  <si>
    <t>FlagsSummaryBank3Page11h</t>
  </si>
  <si>
    <t>CdbCmdCompleteFlag2</t>
  </si>
  <si>
    <t>RO/COR
Adv.</t>
  </si>
  <si>
    <t>CdbCmdCompleteFlag1</t>
  </si>
  <si>
    <t>5-3</t>
  </si>
  <si>
    <t>Rqd.</t>
  </si>
  <si>
    <t>000b</t>
  </si>
  <si>
    <t>DataPathFirmwareErrorFlag</t>
  </si>
  <si>
    <t>ModuleFirmwareErrorFlag</t>
  </si>
  <si>
    <t>ModuleStateChangedFlag</t>
  </si>
  <si>
    <t>RO/COR
Rqd.</t>
  </si>
  <si>
    <t>VccMonLowWarningFlag</t>
  </si>
  <si>
    <t>VccMonHighWarningFlag</t>
  </si>
  <si>
    <t>VccMonLowAlarmFlag</t>
  </si>
  <si>
    <t>VccMonHighAlarmFlag</t>
  </si>
  <si>
    <t>TempMonLowWarningFlag</t>
  </si>
  <si>
    <t>TempMonHighWarningFlag</t>
  </si>
  <si>
    <t>TempMonLowAlarmFlag</t>
  </si>
  <si>
    <t>TempMonHighAlarmFlag</t>
  </si>
  <si>
    <t>Aux2MonLowWarningFlag</t>
  </si>
  <si>
    <t>Aux2MonHighWarningFlag</t>
  </si>
  <si>
    <t>Aux2MonLowAlarmFlag</t>
  </si>
  <si>
    <t>Aux2MonHighAlarmFlag</t>
  </si>
  <si>
    <t>Aux1MonLowWarningFlag</t>
  </si>
  <si>
    <t>Aux1MonHighWarningFlag</t>
  </si>
  <si>
    <t>Aux1MonLowAlarmFlag</t>
  </si>
  <si>
    <t>Aux1MonHighAlarmFlag</t>
  </si>
  <si>
    <t>CustomMonLowWarningFlag</t>
  </si>
  <si>
    <t>CustomMonHighWarningFlag</t>
  </si>
  <si>
    <t>CustomMonLowAlarmFlag</t>
  </si>
  <si>
    <t>CustomMonHighAlarmFlag</t>
  </si>
  <si>
    <t>Aux3MonLowWarningFlag</t>
  </si>
  <si>
    <t>Aux3MonHighWarningFlag</t>
  </si>
  <si>
    <t>Aux3MonLowAlarmFlag</t>
  </si>
  <si>
    <t>Aux3MonHighAlarmFlag</t>
  </si>
  <si>
    <t>40h</t>
  </si>
  <si>
    <t>Reserved[1]</t>
  </si>
  <si>
    <t>Custom[1]</t>
  </si>
  <si>
    <t>14-15</t>
  </si>
  <si>
    <t>0E-0F</t>
  </si>
  <si>
    <t>TempMonValue</t>
  </si>
  <si>
    <t>42h 38h</t>
  </si>
  <si>
    <t>16-17</t>
  </si>
  <si>
    <t>10-11</t>
  </si>
  <si>
    <t>VccMonVoltage</t>
  </si>
  <si>
    <t>81h 68h</t>
  </si>
  <si>
    <t>18-19</t>
  </si>
  <si>
    <t>12-13</t>
  </si>
  <si>
    <t>Aux1MonValue</t>
  </si>
  <si>
    <t>E9h C0h</t>
  </si>
  <si>
    <t>20-21</t>
  </si>
  <si>
    <t>Aux2MonValue</t>
  </si>
  <si>
    <t>E8h 61h</t>
  </si>
  <si>
    <t>22-23</t>
  </si>
  <si>
    <t>Aux3MonValue</t>
  </si>
  <si>
    <t>33h FFh</t>
  </si>
  <si>
    <t>24-25</t>
  </si>
  <si>
    <t>DSP temperature</t>
  </si>
  <si>
    <t>60h 38h</t>
  </si>
  <si>
    <t>A MSFT customized feature, DSP Temperature Monitor, measured temperature internally in 1/256 degree Celsius increments.(S16)</t>
  </si>
  <si>
    <t>BankBroadcastEnable</t>
  </si>
  <si>
    <t>Bank broadcast for lane-banked pages disabled</t>
  </si>
  <si>
    <t>LowPwrAllowRequestHW</t>
  </si>
  <si>
    <t>RW Rqd.</t>
  </si>
  <si>
    <t>Module evaluates the LowPwrRequestHW signal</t>
  </si>
  <si>
    <t>SquelchMethodSelect</t>
  </si>
  <si>
    <t>Squelching of Tx output reduces average power</t>
  </si>
  <si>
    <t>LowPwrRequestSW</t>
  </si>
  <si>
    <t>No LowPwr request</t>
  </si>
  <si>
    <t>SoftwareReset</t>
  </si>
  <si>
    <t>WO/SC
Rqd.</t>
  </si>
  <si>
    <t>2-0</t>
  </si>
  <si>
    <t>Custom</t>
  </si>
  <si>
    <t>3-0</t>
  </si>
  <si>
    <t>MciSpeedConfiguration</t>
  </si>
  <si>
    <t>29-30</t>
  </si>
  <si>
    <t>1D-1E</t>
  </si>
  <si>
    <t>Custom [2]</t>
  </si>
  <si>
    <t>00h 00h</t>
  </si>
  <si>
    <t>CdbCmdCompleteMask2</t>
  </si>
  <si>
    <t>CdbCmdCompleteMask1</t>
  </si>
  <si>
    <t>DataPathFirmwareErrorMask</t>
  </si>
  <si>
    <t>ModuleFirmwareErrorMask</t>
  </si>
  <si>
    <t>ModuleStateChangedMask</t>
  </si>
  <si>
    <t>C6h</t>
  </si>
  <si>
    <t>VccMonLowWarningMask</t>
  </si>
  <si>
    <t>VccMonHighWarningMask</t>
  </si>
  <si>
    <t>VccMonLowAlarmMask</t>
  </si>
  <si>
    <t>VccMonHighAlarmMask</t>
  </si>
  <si>
    <t>TempMonLowWarningMask</t>
  </si>
  <si>
    <t>TempMonHighWarningMask</t>
  </si>
  <si>
    <t>TempMonLowAlarmMask</t>
  </si>
  <si>
    <t>TempMonHighAlarmMask</t>
  </si>
  <si>
    <t>FFh</t>
  </si>
  <si>
    <t>Aux2MonLowWarningMask</t>
  </si>
  <si>
    <t>Aux2MonHighWarningMask</t>
  </si>
  <si>
    <t>Aux2MonLowAlarmMask</t>
  </si>
  <si>
    <t>Aux2MonHighAlarmMask</t>
  </si>
  <si>
    <t>Aux1MonLowWarningMask</t>
  </si>
  <si>
    <t>Aux1MonHighWarningMask</t>
  </si>
  <si>
    <t>Aux1MonLowAlarmMask</t>
  </si>
  <si>
    <t>Aux1MonHighAlarmMask</t>
  </si>
  <si>
    <t>CustomMonLowWarningMask</t>
  </si>
  <si>
    <t>CustomMonHighWarningMask</t>
  </si>
  <si>
    <t>CustomMonLowAlarmMask</t>
  </si>
  <si>
    <t>CustomMonHighAlarmMask</t>
  </si>
  <si>
    <t>Aux3MonLowWarningMask</t>
  </si>
  <si>
    <t>Aux3MonHighWarningMask</t>
  </si>
  <si>
    <t>Aux3MonLowAlarmMask</t>
  </si>
  <si>
    <t>Aux3MonHighAlarmMask</t>
  </si>
  <si>
    <t>Reserved[1] for Masks</t>
  </si>
  <si>
    <t>Custom[1] Module level Masks</t>
  </si>
  <si>
    <t>CdbStatus1-CdbIsBusy</t>
  </si>
  <si>
    <t>CdbStatus1-CdbHasFailed</t>
  </si>
  <si>
    <t>CdbStatus1-CdbCommandResult</t>
  </si>
  <si>
    <t>000001b</t>
  </si>
  <si>
    <t>CdbStatus2-CdbIsBusy</t>
  </si>
  <si>
    <t>CdbStatus2-CdbHasFailed</t>
  </si>
  <si>
    <t>CdbStatus2-CdbCommandResult</t>
  </si>
  <si>
    <t>ModuleActiveFirmwareMajorRevision</t>
  </si>
  <si>
    <t>01h</t>
  </si>
  <si>
    <t>ModuleActiveFirmwareMinorRevision</t>
  </si>
  <si>
    <t>ModuleFaultCause</t>
  </si>
  <si>
    <t>RO Opt.</t>
  </si>
  <si>
    <t>No Fault detected</t>
  </si>
  <si>
    <t>PasswordCmdResult</t>
  </si>
  <si>
    <t>43-55</t>
  </si>
  <si>
    <t>2B-37</t>
  </si>
  <si>
    <t>Reserved[13]</t>
  </si>
  <si>
    <t>CmisSmSupport</t>
  </si>
  <si>
    <t>MSM+DPSM</t>
  </si>
  <si>
    <t>ModuleFunctionType</t>
  </si>
  <si>
    <t>58-59</t>
  </si>
  <si>
    <t>3A-3B</t>
  </si>
  <si>
    <t>Reserved[2]</t>
  </si>
  <si>
    <t>SFF8024ModuleSubtype</t>
  </si>
  <si>
    <t>SFF8024FiberFaceType</t>
  </si>
  <si>
    <t>LowPowerRestrictions</t>
  </si>
  <si>
    <t>64-84</t>
  </si>
  <si>
    <t>40-54</t>
  </si>
  <si>
    <t>Custom[21]</t>
  </si>
  <si>
    <t>00h 00h 00h 64h 00h 2Eh 00h 01h 00h 01h 00h 64h 00h 00h 00h 00h 00h 00h 00h 00h 00h</t>
  </si>
  <si>
    <t>MediaType</t>
  </si>
  <si>
    <t>02h</t>
  </si>
  <si>
    <t>Optical Interfaces: SMF</t>
  </si>
  <si>
    <t>HostInterfaceIDApp1</t>
  </si>
  <si>
    <t>RO
Rqd.</t>
  </si>
  <si>
    <t>MediaInterfaceIDApp1</t>
  </si>
  <si>
    <t>6Ch</t>
  </si>
  <si>
    <t>HostLaneCountApp1</t>
  </si>
  <si>
    <t>1000b</t>
  </si>
  <si>
    <t>MediaLaneCountApp1</t>
  </si>
  <si>
    <t>HostLaneAssignmentOptionsApp1</t>
  </si>
  <si>
    <t>HostInterfaceIDApp2</t>
  </si>
  <si>
    <t>51h</t>
  </si>
  <si>
    <t>MediaInterfaceIDApp2</t>
  </si>
  <si>
    <t>HostLaneCountApp2</t>
  </si>
  <si>
    <t>MediaLaneCountApp2</t>
  </si>
  <si>
    <t>HostLaneAssignmentOptionsApp2</t>
  </si>
  <si>
    <t>HostInterfaceIDApp3</t>
  </si>
  <si>
    <t>RO
Cnd.</t>
  </si>
  <si>
    <t>50h</t>
  </si>
  <si>
    <t>MediaInterfaceIDApp3</t>
  </si>
  <si>
    <t>3Eh</t>
  </si>
  <si>
    <t>HostLaneCountApp3</t>
  </si>
  <si>
    <t>0100b</t>
  </si>
  <si>
    <t>MediaLaneCountApp3</t>
  </si>
  <si>
    <t>HostLaneAssignmentOptionsApp3</t>
  </si>
  <si>
    <t>HostInterfaceIDApp4</t>
  </si>
  <si>
    <t>4Fh</t>
  </si>
  <si>
    <t>MediaInterfaceIDApp4</t>
  </si>
  <si>
    <t>HostLaneCountApp4</t>
  </si>
  <si>
    <t>MediaLaneCountApp4</t>
  </si>
  <si>
    <t>HostLaneAssignmentOptionsApp4</t>
  </si>
  <si>
    <t>HostInterfaceIDApp5</t>
  </si>
  <si>
    <t>MediaInterfaceIDApp5</t>
  </si>
  <si>
    <t>HostLaneCountApp5</t>
  </si>
  <si>
    <t>MediaLaneCountApp5</t>
  </si>
  <si>
    <t>HostLaneAssignmentOptionsApp5</t>
  </si>
  <si>
    <t>11h</t>
  </si>
  <si>
    <t>HostInterfaceIDApp6</t>
  </si>
  <si>
    <t>MediaInterfaceIDApp6</t>
  </si>
  <si>
    <t>HostLaneCountApp6</t>
  </si>
  <si>
    <t>MediaLaneCountApp6</t>
  </si>
  <si>
    <t>HostLaneAssignmentOptionsApp6</t>
  </si>
  <si>
    <t>HostInterfaceIDApp7</t>
  </si>
  <si>
    <t>MediaInterfaceIDApp7</t>
  </si>
  <si>
    <t>HostLaneCountApp7</t>
  </si>
  <si>
    <t>MediaLaneCountApp7</t>
  </si>
  <si>
    <t>HostLaneAssignmentOptionsApp7</t>
  </si>
  <si>
    <t>HostInterfaceIDApp8</t>
  </si>
  <si>
    <t>MediaInterfaceIDApp8</t>
  </si>
  <si>
    <t>HostLaneCountApp8</t>
  </si>
  <si>
    <t>MediaLaneCountApp8</t>
  </si>
  <si>
    <t>HostLaneAssignmentOptionsApp8</t>
  </si>
  <si>
    <t>118-121</t>
  </si>
  <si>
    <t>76-79</t>
  </si>
  <si>
    <t>PasswordChangeEntryArea</t>
  </si>
  <si>
    <t>WO/SC
Opt.</t>
  </si>
  <si>
    <t>00h 00h 00h 00h</t>
  </si>
  <si>
    <t>122-125</t>
  </si>
  <si>
    <t>7A-7D</t>
  </si>
  <si>
    <t>PasswordEntryArea</t>
  </si>
  <si>
    <t>BankSelect</t>
  </si>
  <si>
    <t>RW
Cnd.</t>
  </si>
  <si>
    <t>PageSelect</t>
  </si>
  <si>
    <t>RWW
Cnd.</t>
  </si>
  <si>
    <t>04h</t>
  </si>
  <si>
    <t>Size(bytes)</t>
  </si>
  <si>
    <t>129-144</t>
  </si>
  <si>
    <t>81-90</t>
  </si>
  <si>
    <t>VendorName</t>
  </si>
  <si>
    <t>4Ch 55h 4Dh 45h 4Eh 54h 55h 4Dh 20h 20h 20h 20h 20h 20h 20h 20h</t>
  </si>
  <si>
    <t>145-147</t>
  </si>
  <si>
    <t>91-93</t>
  </si>
  <si>
    <t>VendorOUI</t>
  </si>
  <si>
    <t>00h 01h 9Ch</t>
  </si>
  <si>
    <t>148-163</t>
  </si>
  <si>
    <t>94-A3</t>
  </si>
  <si>
    <t>VendorPN</t>
  </si>
  <si>
    <t>4Ch 44h 4Fh 2Dh 30h 38h 30h 2Dh 44h 5Ah 2Dh 47h 4Fh 31h 20h 20h</t>
  </si>
  <si>
    <t>164-165</t>
  </si>
  <si>
    <t>A4-A5</t>
  </si>
  <si>
    <t>VendorRev</t>
  </si>
  <si>
    <t>37h 48h</t>
  </si>
  <si>
    <t>166-181</t>
  </si>
  <si>
    <t>A6-B5</t>
  </si>
  <si>
    <t>VendorSN</t>
  </si>
  <si>
    <t>56h 38h 4Fh 32h 35h 34h 36h 30h 31h 30h 33h 20h 20h 20h 20h 20h</t>
  </si>
  <si>
    <t>182-189</t>
  </si>
  <si>
    <t>B6-BD</t>
  </si>
  <si>
    <t>DateCode</t>
  </si>
  <si>
    <t>32h 35h 31h 31h 31h 32h 57h 48h</t>
  </si>
  <si>
    <t>190-199</t>
  </si>
  <si>
    <t>BE-C7</t>
  </si>
  <si>
    <t>CLEICode</t>
  </si>
  <si>
    <t>41h 42h 43h 44h 45h 31h 32h 33h 34h 35h</t>
  </si>
  <si>
    <t>Blank in ASCII</t>
  </si>
  <si>
    <t>7-5</t>
  </si>
  <si>
    <t>ModulePowerClass</t>
  </si>
  <si>
    <t>111b</t>
  </si>
  <si>
    <t>4-0</t>
  </si>
  <si>
    <t>MaxPower</t>
  </si>
  <si>
    <t>70h</t>
  </si>
  <si>
    <t>Units of 0.25W</t>
  </si>
  <si>
    <t>7-6</t>
  </si>
  <si>
    <t>LengthMultiplier</t>
  </si>
  <si>
    <t>Modules with separable optical media shall set the value to 0</t>
  </si>
  <si>
    <t>BaseLength</t>
  </si>
  <si>
    <t>ConnectorType</t>
  </si>
  <si>
    <t>MPO12</t>
  </si>
  <si>
    <t>AttenuationAt5GHz</t>
  </si>
  <si>
    <t>RO Cnd.</t>
  </si>
  <si>
    <t>Only for passive copper cables</t>
  </si>
  <si>
    <t>AttenuationAt7GHz</t>
  </si>
  <si>
    <t>AttenuationAt12p9GHz</t>
  </si>
  <si>
    <t>AttenuationAt25p8GHz</t>
  </si>
  <si>
    <t xml:space="preserve">AttenuationAt53p1GHz </t>
  </si>
  <si>
    <t>MediaLaneUnsupportedLane8</t>
  </si>
  <si>
    <t>Media Lane8 supported</t>
  </si>
  <si>
    <t>MediaLaneUnsupportedLane7</t>
  </si>
  <si>
    <t>Media Lane7 supported</t>
  </si>
  <si>
    <t>MediaLaneUnsupportedLane6</t>
  </si>
  <si>
    <t>Media Lane6 supported</t>
  </si>
  <si>
    <t>MediaLaneUnsupportedLane5</t>
  </si>
  <si>
    <t>Media Lane5 supported</t>
  </si>
  <si>
    <t>MediaLaneUnsupportedLane4</t>
  </si>
  <si>
    <t>Media Lane4 supported</t>
  </si>
  <si>
    <t>MediaLaneUnsupportedLane3</t>
  </si>
  <si>
    <t>Media Lane3 supported</t>
  </si>
  <si>
    <t>MediaLaneUnsupportedLane2</t>
  </si>
  <si>
    <t>Media Lane2 supported</t>
  </si>
  <si>
    <t>MediaLaneUnsupportedLane1</t>
  </si>
  <si>
    <t>FEh</t>
  </si>
  <si>
    <t>Media Lane1 supported</t>
  </si>
  <si>
    <t>FarEndConfiguration</t>
  </si>
  <si>
    <t>Module with detachable media</t>
  </si>
  <si>
    <t>MediaInterfaceTechnology</t>
  </si>
  <si>
    <t>10h</t>
  </si>
  <si>
    <t>MciFlowControlDurationEncoding</t>
  </si>
  <si>
    <t>6-0</t>
  </si>
  <si>
    <t>MciFlowControlDuration</t>
  </si>
  <si>
    <t>0000000b</t>
  </si>
  <si>
    <t>214-220</t>
  </si>
  <si>
    <t>D6-DC</t>
  </si>
  <si>
    <t>Reserved[7]</t>
  </si>
  <si>
    <t>00h 00h 00h 00h 00h 00h 00h</t>
  </si>
  <si>
    <t>PageChecksum</t>
  </si>
  <si>
    <t>DFh</t>
  </si>
  <si>
    <t>223-255</t>
  </si>
  <si>
    <t>DF-FF</t>
  </si>
  <si>
    <t>Custom[33] Information (non-volatile)</t>
  </si>
  <si>
    <t>00h 00h 00h 00h 00h 00h 00h 00h 00h 00h 00h 00h 00h 00h 00h 00h 00h 00h 00h 00h 00h 00h 00h 00h 00h 00h 00h 00h 00h 00h 00h 00h 00h</t>
  </si>
  <si>
    <t>ModuleInactiveFirmwareMajorRevision</t>
  </si>
  <si>
    <t>ModuleInactiveFirmwareMinorRevision</t>
  </si>
  <si>
    <t>ModuleHardwareMajorRevision</t>
  </si>
  <si>
    <t>ModuleHardwareMinorRevision</t>
  </si>
  <si>
    <t>03h</t>
  </si>
  <si>
    <t>LengthMultiplierSMF</t>
  </si>
  <si>
    <t>10b</t>
  </si>
  <si>
    <t>BaseLengthSMF</t>
  </si>
  <si>
    <t>001100b</t>
  </si>
  <si>
    <t>Base link length for SMF fiber in km</t>
  </si>
  <si>
    <t>LengthOM5</t>
  </si>
  <si>
    <t>Link length supported for OM5 fiber, units of 2m</t>
  </si>
  <si>
    <t>LengthOM4</t>
  </si>
  <si>
    <t>Link length supported for OM4 fiber, units of 2m</t>
  </si>
  <si>
    <t>LengthOM3</t>
  </si>
  <si>
    <t>Link length supported for EBW 50/125 μm fiber (OM3), units of 2m</t>
  </si>
  <si>
    <t>LengthOM2</t>
  </si>
  <si>
    <t>Link length supported for 50/125 μm fiber (OM2), units of 1m</t>
  </si>
  <si>
    <t>138-139</t>
  </si>
  <si>
    <t>8A-8B</t>
  </si>
  <si>
    <t>NominalWavelength</t>
  </si>
  <si>
    <t>79h 4Ah</t>
  </si>
  <si>
    <t>The center is 66h 6Ch(1311nm, units of 0.05nm), the range of IEEE specification is 1304.5~1317.5nm. (units of 0.05nm)</t>
  </si>
  <si>
    <t>140-141</t>
  </si>
  <si>
    <t>8C-8D</t>
  </si>
  <si>
    <t>WavelengthTolerance</t>
  </si>
  <si>
    <t>00h 03h</t>
  </si>
  <si>
    <t>05h 14h is 6.5nm (units of 0.005nm)</t>
  </si>
  <si>
    <t>NetworkPathPagesSupported</t>
  </si>
  <si>
    <t>VDMPagesSupported</t>
  </si>
  <si>
    <t>VDM Pages 20h-2Fh supported</t>
  </si>
  <si>
    <t>DiagnosticPagesSupported</t>
  </si>
  <si>
    <t>Banked Page 13h-14h supported</t>
  </si>
  <si>
    <t>Page05hSupported</t>
  </si>
  <si>
    <t>Page03hSupported</t>
  </si>
  <si>
    <t>User Page 03h supported</t>
  </si>
  <si>
    <t>BanksSupported</t>
  </si>
  <si>
    <t>Bank 0 supported (8 lanes)</t>
  </si>
  <si>
    <t>ModSelWaitTimeExponent e</t>
  </si>
  <si>
    <t>No ModSel for OSFP</t>
  </si>
  <si>
    <t>ModSelWaitTimeMantissa m</t>
  </si>
  <si>
    <t>MaxDurationDPDeinit</t>
  </si>
  <si>
    <t>0111b</t>
  </si>
  <si>
    <t>MaxDurationDPInit</t>
  </si>
  <si>
    <t>1010b</t>
  </si>
  <si>
    <t>CoolingImplemented</t>
  </si>
  <si>
    <t>6-5</t>
  </si>
  <si>
    <t>TxInputClockingCapabilities</t>
  </si>
  <si>
    <t>Lanes may be asynchronous in frequency to ensure all lanes can link individually.</t>
  </si>
  <si>
    <t>ePPSSupported</t>
  </si>
  <si>
    <t>Enhanced Pulse Per Second timing signal</t>
  </si>
  <si>
    <t>TimingPage15hSupported</t>
  </si>
  <si>
    <t>Ask supplier how to measure</t>
  </si>
  <si>
    <t>Aux3MonObservable</t>
  </si>
  <si>
    <t>0b: Aux 3 monitor monitors Laser Temperature; 1b: Aux 3 monitor monitors Vcc2</t>
  </si>
  <si>
    <t>Aux2MonObservable</t>
  </si>
  <si>
    <t>0b: Aux 2 monitor monitors Laser Temperature; 1b: Aux 2 monitor monitors TEC current</t>
  </si>
  <si>
    <t>Aux1MonObservable</t>
  </si>
  <si>
    <t>83h</t>
  </si>
  <si>
    <t>0b: Aux 1 monitor is custom; 1b: Aux 1 monitor monitors TEC current</t>
  </si>
  <si>
    <t>ModuleTempMax</t>
  </si>
  <si>
    <t>4Bh</t>
  </si>
  <si>
    <t>Units of 1 deg C</t>
  </si>
  <si>
    <t>ModuleTempMin</t>
  </si>
  <si>
    <t>148-149</t>
  </si>
  <si>
    <t>94-95</t>
  </si>
  <si>
    <t>PropagationDelay</t>
  </si>
  <si>
    <t>Propagation delay of a non-separable AOC, units of 10ns or zero for 'not specified'</t>
  </si>
  <si>
    <t>OperatingVoltageMin</t>
  </si>
  <si>
    <t>9Dh</t>
  </si>
  <si>
    <t>Units of 20mV</t>
  </si>
  <si>
    <t>OpticalDetectorType</t>
  </si>
  <si>
    <t>PIN detector</t>
  </si>
  <si>
    <t>RxOutputEqType</t>
  </si>
  <si>
    <t>01b</t>
  </si>
  <si>
    <t>Steady-state amplitude stays constant</t>
  </si>
  <si>
    <t>RxPowerMeasurementType</t>
  </si>
  <si>
    <t>Average power</t>
  </si>
  <si>
    <t>RxLOSType</t>
  </si>
  <si>
    <t>Rx LOS responds to Pav</t>
  </si>
  <si>
    <t>RxLOSIsFast</t>
  </si>
  <si>
    <t>TxDisableIsFast</t>
  </si>
  <si>
    <t>TxDisableIs ModuleWide</t>
  </si>
  <si>
    <t>39h</t>
  </si>
  <si>
    <t>Tx output disable is controlled per lane</t>
  </si>
  <si>
    <t>CDRPowerSavedPerLane</t>
  </si>
  <si>
    <t>Units of 0.01W</t>
  </si>
  <si>
    <t>RxOutputLevel3Supported</t>
  </si>
  <si>
    <t>Amplitude Code 3 supported</t>
  </si>
  <si>
    <t>RxOutputLevel2Supported</t>
  </si>
  <si>
    <t>Amplitude Code 2 supported</t>
  </si>
  <si>
    <t>RxOutputLevel1Supported</t>
  </si>
  <si>
    <t>Amplitude Code 1 supported</t>
  </si>
  <si>
    <t>RxOutputLevel0Supported</t>
  </si>
  <si>
    <t>Amplitude Code 0 supported</t>
  </si>
  <si>
    <t>TxInputEqMax</t>
  </si>
  <si>
    <t>RxOutputEqPostCursorMax</t>
  </si>
  <si>
    <t>1111b</t>
  </si>
  <si>
    <t>Maximum supported value of the Rx Output Eq Post-cursor control</t>
  </si>
  <si>
    <t>RxOutputEqPreCursorMax</t>
  </si>
  <si>
    <t>Maximum supported value of the Rx Output Eq Pre-cursor control</t>
  </si>
  <si>
    <t>WavelengthsControllable</t>
  </si>
  <si>
    <t>No wavelength control</t>
  </si>
  <si>
    <t>TransmitterIsTunable</t>
  </si>
  <si>
    <t>Transmitter not tunable</t>
  </si>
  <si>
    <t>5-4</t>
  </si>
  <si>
    <t>SquelchMethodTx</t>
  </si>
  <si>
    <t>Host controls the method for Tx output squelching, reducing OMA or Pav</t>
  </si>
  <si>
    <t>ForcedSquelchTxSupported</t>
  </si>
  <si>
    <t>Host can force squelching of Tx outputs using OutputSquelchForceTx</t>
  </si>
  <si>
    <t>AutoSquelchDisableTxSupported</t>
  </si>
  <si>
    <t>OutputDisableTxSupported</t>
  </si>
  <si>
    <t>Host can disable Tx outputs using the OutputDisableTx register</t>
  </si>
  <si>
    <t>InputPolarityFlipTxSupported</t>
  </si>
  <si>
    <t>EFh</t>
  </si>
  <si>
    <t>InputPolarityFlipTx control supported</t>
  </si>
  <si>
    <t>BankBroadcastSupported</t>
  </si>
  <si>
    <t>6-3</t>
  </si>
  <si>
    <t>AutoSquelchDisableRxSupported</t>
  </si>
  <si>
    <t>OutputDisableRxSupported</t>
  </si>
  <si>
    <t>Host can disable Rx outputs using the OutputDisableRx register</t>
  </si>
  <si>
    <t>OutputPolarityFlipRxSupported</t>
  </si>
  <si>
    <t>PolarityFlipRx supported</t>
  </si>
  <si>
    <t>AdaptiveInputEqFailFlagTxSupported</t>
  </si>
  <si>
    <t>CDRLOLFlagTxSupported</t>
  </si>
  <si>
    <t>Should be supported</t>
  </si>
  <si>
    <t>LOSFlagTxSupported</t>
  </si>
  <si>
    <t>FailureFlagTxSupported</t>
  </si>
  <si>
    <t>CDRLOLFlagRxSupported</t>
  </si>
  <si>
    <t>Rx CDR Loss of Lock Flags supported</t>
  </si>
  <si>
    <t>LOSFlagRxSupported</t>
  </si>
  <si>
    <t>Rx Loss of Signal Flags supported</t>
  </si>
  <si>
    <t>06h</t>
  </si>
  <si>
    <t>CustomMonSupported</t>
  </si>
  <si>
    <t>Aux3MonSupported</t>
  </si>
  <si>
    <t>Aux2MonSupported</t>
  </si>
  <si>
    <t>Aux1MonSupported</t>
  </si>
  <si>
    <t>VccMonSupported</t>
  </si>
  <si>
    <t>Internal 3.3 V monitor supported</t>
  </si>
  <si>
    <t>TempMonSupported</t>
  </si>
  <si>
    <t>3Fh</t>
  </si>
  <si>
    <t>Temperature monitor supported</t>
  </si>
  <si>
    <t>4-3</t>
  </si>
  <si>
    <t>TxBiasCurrentScalingFactor</t>
  </si>
  <si>
    <t>RxOpticalPowerMonSupported</t>
  </si>
  <si>
    <t>Rx Optical Input Power monitor supported</t>
  </si>
  <si>
    <t>TxOpticalPowerMonSupported</t>
  </si>
  <si>
    <t>Tx Output Optical Power monitor supported</t>
  </si>
  <si>
    <t>TxBiasMonSupported</t>
  </si>
  <si>
    <t>17h</t>
  </si>
  <si>
    <t>Tx Bias monitor supported</t>
  </si>
  <si>
    <t>TxInputEqRecallBuffersSupported</t>
  </si>
  <si>
    <t>TxInputEqFreezeSupported</t>
  </si>
  <si>
    <t>TxInputAdaptiveEqSupported</t>
  </si>
  <si>
    <t>Adaptive Tx Input Eq supported</t>
  </si>
  <si>
    <t>TxInputEqFixedManualControlSupported</t>
  </si>
  <si>
    <t>TxCDRBypassControlSupported</t>
  </si>
  <si>
    <t>Tx CDR cannot be bypassed</t>
  </si>
  <si>
    <t>TxCDRSupported</t>
  </si>
  <si>
    <t>09h</t>
  </si>
  <si>
    <t>Tx CDR supported</t>
  </si>
  <si>
    <t>UnidirReconfigSupported</t>
  </si>
  <si>
    <t>StagedSet1Supported</t>
  </si>
  <si>
    <t>RxOutputEqControlSupported</t>
  </si>
  <si>
    <t>RxOutputAmplitudeControlSupported</t>
  </si>
  <si>
    <t>Rx Output Amplitude control supported</t>
  </si>
  <si>
    <t>RxCDRBypassControlSupported</t>
  </si>
  <si>
    <t>Rx CDR cannot be bypassed</t>
  </si>
  <si>
    <t>RxCDRSupported</t>
  </si>
  <si>
    <t>3Dh</t>
  </si>
  <si>
    <t>Rx CDR supported</t>
  </si>
  <si>
    <t>CdbInstancesSupported</t>
  </si>
  <si>
    <t>At least one CDB instance supported</t>
  </si>
  <si>
    <t>CdbBackgroundModeSupported</t>
  </si>
  <si>
    <t>Background CDB operation supported</t>
  </si>
  <si>
    <t>CdbAutoPagingSupported</t>
  </si>
  <si>
    <t>Auto Paging and Auto Page wrap supported</t>
  </si>
  <si>
    <t>CdbMaxPagesEPL</t>
  </si>
  <si>
    <t>A0h-AFh EPL pages supported</t>
  </si>
  <si>
    <t>CdbReadWriteLengthExtension</t>
  </si>
  <si>
    <t>CdbCommandTriggerMethod</t>
  </si>
  <si>
    <t>When the MCI transaction of a WRITE access including the CMDID register 9Fh:129 is properly terminated by the host (STOP).</t>
  </si>
  <si>
    <t>CdbExtMaxBusyTime</t>
  </si>
  <si>
    <t>CdbMaxBusySpecMethod</t>
  </si>
  <si>
    <t>CdbMaxBusyTime</t>
  </si>
  <si>
    <t>MaxDurationModulePwrDn</t>
  </si>
  <si>
    <t>0110b</t>
  </si>
  <si>
    <t>MaxDurationModulePwrUp</t>
  </si>
  <si>
    <t>MaxDurationDPTxTurnOff</t>
  </si>
  <si>
    <t>0011b</t>
  </si>
  <si>
    <t>MaxDurationDPTxTurnOn</t>
  </si>
  <si>
    <t>MaxDurationBPC</t>
  </si>
  <si>
    <t>170-175</t>
  </si>
  <si>
    <t>AA-AF</t>
  </si>
  <si>
    <t>00h 00h 00h 00h 00h 00h</t>
  </si>
  <si>
    <t>MediaLaneAssignmentOptionsApp1</t>
  </si>
  <si>
    <t>MediaLaneAssignmentOptionsApp2</t>
  </si>
  <si>
    <t>MediaLaneAssignmentOptionsApp3</t>
  </si>
  <si>
    <t>MediaLaneAssignmentOptionsApp4</t>
  </si>
  <si>
    <t>MediaLaneAssignmentOptionsApp5</t>
  </si>
  <si>
    <t>MediaLaneAssignmentOptionsApp6</t>
  </si>
  <si>
    <t>MediaLaneAssignmentOptionsApp7</t>
  </si>
  <si>
    <t>MediaLaneAssignmentOptionsApp8</t>
  </si>
  <si>
    <t>MediaLaneAssignmentOptionsApp9</t>
  </si>
  <si>
    <t>MediaLaneAssignmentOptionsApp10</t>
  </si>
  <si>
    <t>MediaLaneAssignmentOptionsApp11</t>
  </si>
  <si>
    <t>MediaLaneAssignmentOptionsApp12</t>
  </si>
  <si>
    <t>MediaLaneAssignmentOptionsApp13</t>
  </si>
  <si>
    <t>MediaLaneAssignmentOptionsApp14</t>
  </si>
  <si>
    <t>MediaLaneAssignmentOptionsApp15</t>
  </si>
  <si>
    <t>191-222</t>
  </si>
  <si>
    <t>BF-DE</t>
  </si>
  <si>
    <t>Custom[32]</t>
  </si>
  <si>
    <t>00h 00h 00h 00h 00h 00h 00h 00h 00h 00h 00h 00h 00h 00h 00h 00h 00h 00h 00h 00h 00h 00h 00h 00h 00h 00h 00h 00h 00h 00h 00h 00h</t>
  </si>
  <si>
    <t>HostInterfaceIDApp9</t>
  </si>
  <si>
    <t>MediaInterfaceIDApp9</t>
  </si>
  <si>
    <t>HostLaneCountApp9</t>
  </si>
  <si>
    <t>MediaLaneCountApp9</t>
  </si>
  <si>
    <t>HostLaneAssignmentOptionsApp9</t>
  </si>
  <si>
    <t>HostInterfaceIDApp10</t>
  </si>
  <si>
    <t>MediaInterfaceIDApp10</t>
  </si>
  <si>
    <t>HostLaneCountApp10</t>
  </si>
  <si>
    <t>MediaLaneCountApp10</t>
  </si>
  <si>
    <t>HostLaneAssignmentOptionsApp10</t>
  </si>
  <si>
    <t>HostInterfaceIDApp11</t>
  </si>
  <si>
    <t>MediaInterfaceIDApp11</t>
  </si>
  <si>
    <t>HostLaneCountApp11</t>
  </si>
  <si>
    <t>MediaLaneCountApp11</t>
  </si>
  <si>
    <t>HostLaneAssignmentOptionsApp11</t>
  </si>
  <si>
    <t>HostInterfaceIDApp12</t>
  </si>
  <si>
    <t>MediaInterfaceIDApp12</t>
  </si>
  <si>
    <t>HostLaneCountApp12</t>
  </si>
  <si>
    <t>MediaLaneCountApp12</t>
  </si>
  <si>
    <t>HostLaneAssignmentOptionsApp12</t>
  </si>
  <si>
    <t>HostInterfaceIDApp13</t>
  </si>
  <si>
    <t>MediaInterfaceIDApp13</t>
  </si>
  <si>
    <t>HostLaneCountApp13</t>
  </si>
  <si>
    <t>MediaLaneCountApp13</t>
  </si>
  <si>
    <t>HostLaneAssignmentOptionsApp13</t>
  </si>
  <si>
    <t>HostInterfaceIDApp14</t>
  </si>
  <si>
    <t>MediaInterfaceIDApp14</t>
  </si>
  <si>
    <t>HostLaneCountApp14</t>
  </si>
  <si>
    <t>MediaLaneCountApp14</t>
  </si>
  <si>
    <t>HostLaneAssignmentOptionsApp14</t>
  </si>
  <si>
    <t>HostInterfaceIDApp15</t>
  </si>
  <si>
    <t>MediaInterfaceIDApp15</t>
  </si>
  <si>
    <t>HostLaneCountApp15</t>
  </si>
  <si>
    <t>MediaLaneCountApp15</t>
  </si>
  <si>
    <t>HostLaneAssignmentOptionsApp15</t>
  </si>
  <si>
    <t>ScratchPadSupported</t>
  </si>
  <si>
    <t>PasswordEntrySupported [9]</t>
  </si>
  <si>
    <t>3-2</t>
  </si>
  <si>
    <t>PasswordEntryResultSupported</t>
  </si>
  <si>
    <t>FullPageReadSupported</t>
  </si>
  <si>
    <t>252-254</t>
  </si>
  <si>
    <t>FC-FE</t>
  </si>
  <si>
    <t>Reserved[4]</t>
  </si>
  <si>
    <t>00h 00h 00h</t>
  </si>
  <si>
    <t>Page Checksum</t>
  </si>
  <si>
    <t>9Bh</t>
  </si>
  <si>
    <t>128-129</t>
  </si>
  <si>
    <t>80-81</t>
  </si>
  <si>
    <t>TempMonHighAlarmThreshold</t>
  </si>
  <si>
    <t>50h 00h</t>
  </si>
  <si>
    <t>130-131</t>
  </si>
  <si>
    <t>82-83</t>
  </si>
  <si>
    <t>TempMonLowAlarmThreshold</t>
  </si>
  <si>
    <t>FDh 00h</t>
  </si>
  <si>
    <t>132-133</t>
  </si>
  <si>
    <t>84-85</t>
  </si>
  <si>
    <t>TempMonHighWarningThreshold</t>
  </si>
  <si>
    <t>4Eh 00h</t>
  </si>
  <si>
    <t>134-135</t>
  </si>
  <si>
    <t>86-87</t>
  </si>
  <si>
    <t>TempMonLowWarningThreshold</t>
  </si>
  <si>
    <t>136-137</t>
  </si>
  <si>
    <t>88-89</t>
  </si>
  <si>
    <t>VccMonHighAlarmThreshold</t>
  </si>
  <si>
    <t>88h B8h</t>
  </si>
  <si>
    <t>VccMonLowAlarmThreshold</t>
  </si>
  <si>
    <t>78h 82h</t>
  </si>
  <si>
    <t>VccMonHighWarningThreshold</t>
  </si>
  <si>
    <t>86h C4h</t>
  </si>
  <si>
    <t>142-143</t>
  </si>
  <si>
    <t>8E-8F</t>
  </si>
  <si>
    <t>VccMonLowWarningThreshold</t>
  </si>
  <si>
    <t>7Ah 76h</t>
  </si>
  <si>
    <t>144-145</t>
  </si>
  <si>
    <t>90-91</t>
  </si>
  <si>
    <t>Aux1MonHighAlarmThreshold</t>
  </si>
  <si>
    <t>7Eh B7h</t>
  </si>
  <si>
    <t>146-147</t>
  </si>
  <si>
    <t>92-93</t>
  </si>
  <si>
    <t>Aux1MonLowAlarmThreshold</t>
  </si>
  <si>
    <t>81h 49h</t>
  </si>
  <si>
    <t>Aux1MonHighWarningThreshold</t>
  </si>
  <si>
    <t>79h 99h</t>
  </si>
  <si>
    <t>150-151</t>
  </si>
  <si>
    <t>96-97</t>
  </si>
  <si>
    <t>Aux1MonLowWarningThreshold</t>
  </si>
  <si>
    <t>86h 67h</t>
  </si>
  <si>
    <t>152-153</t>
  </si>
  <si>
    <t>98-99</t>
  </si>
  <si>
    <t>Aux2MonHighAlarmThreshold</t>
  </si>
  <si>
    <t>154-155</t>
  </si>
  <si>
    <t>9A-9B</t>
  </si>
  <si>
    <t>Aux2MonLowAlarmThreshold</t>
  </si>
  <si>
    <t>156-157</t>
  </si>
  <si>
    <t>9C-9D</t>
  </si>
  <si>
    <t>Aux2MonHighWarningThreshold</t>
  </si>
  <si>
    <t>158-159</t>
  </si>
  <si>
    <t>9E-9F</t>
  </si>
  <si>
    <t>Aux2MonLowWarningThreshold</t>
  </si>
  <si>
    <t>160-161</t>
  </si>
  <si>
    <t>A0-A1</t>
  </si>
  <si>
    <t>Aux3MonHighAlarmThreshold</t>
  </si>
  <si>
    <t>39h 00h</t>
  </si>
  <si>
    <t>162-163</t>
  </si>
  <si>
    <t>A2-A3</t>
  </si>
  <si>
    <t>Aux3MonLowAlarmThreshold</t>
  </si>
  <si>
    <t>2Fh 00h</t>
  </si>
  <si>
    <t>Aux3MonHighWarningThreshold</t>
  </si>
  <si>
    <t>37h 00h</t>
  </si>
  <si>
    <t>166-167</t>
  </si>
  <si>
    <t>A6-A7</t>
  </si>
  <si>
    <t>Aux3MonLowWarningThreshold</t>
  </si>
  <si>
    <t>31h 00h</t>
  </si>
  <si>
    <t>168-169</t>
  </si>
  <si>
    <t>A8-A9</t>
  </si>
  <si>
    <t>CustomMonHighAlarmThreshold</t>
  </si>
  <si>
    <t>70h 00h</t>
  </si>
  <si>
    <t>170-171</t>
  </si>
  <si>
    <t>AA-AB</t>
  </si>
  <si>
    <t>CustomMonLowAlarmThreshold</t>
  </si>
  <si>
    <t>172-173</t>
  </si>
  <si>
    <t>AC-AD</t>
  </si>
  <si>
    <t>CustomMonHighWarningThreshold</t>
  </si>
  <si>
    <t>5Fh 00h</t>
  </si>
  <si>
    <t>174-175</t>
  </si>
  <si>
    <t>AE-AF</t>
  </si>
  <si>
    <t>CustomMonLowWarningThreshold</t>
  </si>
  <si>
    <t>176-177</t>
  </si>
  <si>
    <t>B0-B1</t>
  </si>
  <si>
    <t>OpticalPowerTxHighAlarmThreshold</t>
  </si>
  <si>
    <t>27h 10h</t>
  </si>
  <si>
    <t>RFP avg pow(max) + 2dB</t>
  </si>
  <si>
    <t>178-179</t>
  </si>
  <si>
    <t>B2-B3</t>
  </si>
  <si>
    <t>OpticalPowerTxLowAlarmThreshold</t>
  </si>
  <si>
    <t>01h 8Eh</t>
  </si>
  <si>
    <t>RFP Avg pow(min) - 2dB</t>
  </si>
  <si>
    <t>180-181</t>
  </si>
  <si>
    <t>B4-B5</t>
  </si>
  <si>
    <t>OpticalPowerTxHighWarningThreshold</t>
  </si>
  <si>
    <t>1Fh 07h</t>
  </si>
  <si>
    <t>RFP Avg pow(max) + 1dB</t>
  </si>
  <si>
    <t>182-183</t>
  </si>
  <si>
    <t>B6-B7</t>
  </si>
  <si>
    <t>OpticalPowerTxLowWarningThreshold</t>
  </si>
  <si>
    <t>01h F5h</t>
  </si>
  <si>
    <t>RFP Avg pow(min) - 1dB</t>
  </si>
  <si>
    <t>184-185</t>
  </si>
  <si>
    <t>B8-B9</t>
  </si>
  <si>
    <t>LaserBiasCurrentHighAlarmThreshold</t>
  </si>
  <si>
    <t>E5h 7Eh</t>
  </si>
  <si>
    <t>186-187</t>
  </si>
  <si>
    <t>BA-BB</t>
  </si>
  <si>
    <t>LaserBiasCurrentLowAlarmThreshold</t>
  </si>
  <si>
    <t>09h C4h</t>
  </si>
  <si>
    <t>188-189</t>
  </si>
  <si>
    <t>BC-BD</t>
  </si>
  <si>
    <t>LaserBiasCurrentHighWarningThreshold</t>
  </si>
  <si>
    <t>C3h 50h</t>
  </si>
  <si>
    <t>190-191</t>
  </si>
  <si>
    <t>BE-BF</t>
  </si>
  <si>
    <t>LaserBiasCurrentLowWarningThreshold</t>
  </si>
  <si>
    <t>18h 6Ah</t>
  </si>
  <si>
    <t>192-193</t>
  </si>
  <si>
    <t>C0-C1</t>
  </si>
  <si>
    <t>OpticalPowerRxHighAlarmThreshold</t>
  </si>
  <si>
    <t>62h 1Fh</t>
  </si>
  <si>
    <t>RFP avg pow(max) + 1.3dB</t>
  </si>
  <si>
    <t>194-195</t>
  </si>
  <si>
    <t>C2-C3</t>
  </si>
  <si>
    <t>OpticalPowerRxLowAlarmThreshold</t>
  </si>
  <si>
    <t>Review ODVT data for 1e-6 at worst case</t>
  </si>
  <si>
    <t>196-197</t>
  </si>
  <si>
    <t>C4-C5</t>
  </si>
  <si>
    <t>OpticalPowerRxHighWarningThreshold</t>
  </si>
  <si>
    <t>3Dh E9h</t>
  </si>
  <si>
    <t>RFP avg pow(max) + 1dB</t>
  </si>
  <si>
    <t>198-199</t>
  </si>
  <si>
    <t>C6-C7</t>
  </si>
  <si>
    <t>OpticalPowerRxLowWarningThreshold</t>
  </si>
  <si>
    <t>03h 1Ah</t>
  </si>
  <si>
    <t>Review ODVT data for 1e-7 at worst case</t>
  </si>
  <si>
    <t>200-229</t>
  </si>
  <si>
    <t>C8-E5</t>
  </si>
  <si>
    <t>Reserved[30]</t>
  </si>
  <si>
    <t>00h 00h 00h 00h 00h 00h 00h 00h 00h 00h 00h 00h 00h 00h 00h 00h 00h 00h 00h 00h 00h 00h 00h 00h 00h 00h 00h 00h 00h 00h</t>
  </si>
  <si>
    <t>230-254</t>
  </si>
  <si>
    <t>E6-FE</t>
  </si>
  <si>
    <t>Custom[25]</t>
  </si>
  <si>
    <t>00h 00h 00h 00h 00h 00h 00h 00h 00h 00h 00h 00h 00h 00h 00h 00h 00h 00h 00h 00h 00h 00h 00h 00h 00h</t>
  </si>
  <si>
    <t>128-255</t>
  </si>
  <si>
    <t>80-FF</t>
  </si>
  <si>
    <t>User Data</t>
  </si>
  <si>
    <t>SimultaneousHostAndMediaSideLoopbacks</t>
  </si>
  <si>
    <t>PerLaneMediaSideLoopbacks</t>
  </si>
  <si>
    <t>PerLaneMediaSideLoopbacks supported</t>
  </si>
  <si>
    <t>PerLaneHostSideLoopbacks</t>
  </si>
  <si>
    <t>PerLaneHostSideLoopbacks supported</t>
  </si>
  <si>
    <t>HostSideInputLoopback</t>
  </si>
  <si>
    <t>HostSideOutputLoopback</t>
  </si>
  <si>
    <t>MediaSideInputLoopback</t>
  </si>
  <si>
    <t>MediaSideOutputLoopback</t>
  </si>
  <si>
    <t>1Fh</t>
  </si>
  <si>
    <t>GatingSupport</t>
  </si>
  <si>
    <t>GatingResultsSupported</t>
  </si>
  <si>
    <t>Gating result statistics selectable by DiagnosticsSelector are supported</t>
  </si>
  <si>
    <t>PeriodicUpdatesSupported</t>
  </si>
  <si>
    <t>Real-time statistics are periodically updated during measurement</t>
  </si>
  <si>
    <t>PerLaneGatingTimersSupported</t>
  </si>
  <si>
    <t>AutoRestartGatingSupported</t>
  </si>
  <si>
    <t>AutoRestartGating control (13h:177.4) supported</t>
  </si>
  <si>
    <t>MediaSideFEC</t>
  </si>
  <si>
    <t>HostSideFEC</t>
  </si>
  <si>
    <t>MediaSideInputSNRMeasurement</t>
  </si>
  <si>
    <t>Media side SNR measurement reported via DiagnosticsSelector value 06h is supported</t>
  </si>
  <si>
    <t>HostSideInputSNRMeasurement</t>
  </si>
  <si>
    <t>Host side SNR measurement reported via Diagnostics Selection value 06h is supported</t>
  </si>
  <si>
    <t>BitsAndErrorsCountingSupported</t>
  </si>
  <si>
    <t>DiagnosticsSelector values 02h-05h (errors and bits counters) are supported</t>
  </si>
  <si>
    <t>BitErrorRatioResultsSupported</t>
  </si>
  <si>
    <t>DiagnosticsSelector value 01h (BER values) is supported</t>
  </si>
  <si>
    <t>PRBSGeneratorMediaSidePreFEC</t>
  </si>
  <si>
    <t>PRBSGeneratorMediaSidePostFEC</t>
  </si>
  <si>
    <t>PRBSGeneratorMediaSidePostFEC supported</t>
  </si>
  <si>
    <t>PRBSCheckerMediaSidePreFEC</t>
  </si>
  <si>
    <t>PRBSCheckerMediaSidePreFEC supported</t>
  </si>
  <si>
    <t>PRBSCheckerMediaSidePostFEC</t>
  </si>
  <si>
    <t>PRBSGeneratorHostSidePreFEC</t>
  </si>
  <si>
    <t>PRBSGeneratorHostSidePostFEC</t>
  </si>
  <si>
    <t>PRBSGeneratorHostSidePostFEC supported</t>
  </si>
  <si>
    <t>PRBSCheckerHostSidePreFEC</t>
  </si>
  <si>
    <t>PRBSCheckerHostSidePreFEC supported</t>
  </si>
  <si>
    <t>PRBSCheckerHostSidePostFEC</t>
  </si>
  <si>
    <t>AAh</t>
  </si>
  <si>
    <t>HostSideGeneratorSupportsPattern7</t>
  </si>
  <si>
    <t>HostSideGeneratorSupportsPattern6</t>
  </si>
  <si>
    <t>HostSideGeneratorSupportsPattern5</t>
  </si>
  <si>
    <t>HostSideGeneratorSupportsPattern4</t>
  </si>
  <si>
    <t>HostSideGeneratorSupportsPattern3</t>
  </si>
  <si>
    <t>HostSideGeneratorSupportsPattern2</t>
  </si>
  <si>
    <t>HostSideGeneratorSupportsPattern1</t>
  </si>
  <si>
    <t>HostSideGeneratorSupportsPattern0</t>
  </si>
  <si>
    <t>55h</t>
  </si>
  <si>
    <t>HostSideGeneratorSupportsPattern15</t>
  </si>
  <si>
    <t>HostSideGeneratorSupportsPattern14</t>
  </si>
  <si>
    <t>HostSideGeneratorSupportsPattern13</t>
  </si>
  <si>
    <t>HostSideGeneratorSupportsPattern12</t>
  </si>
  <si>
    <t>HostSideGeneratorSupportsPattern11</t>
  </si>
  <si>
    <t>HostSideGeneratorSupportsPattern10</t>
  </si>
  <si>
    <t>HostSideGeneratorSupportsPattern9</t>
  </si>
  <si>
    <t>HostSideGeneratorSupportsPattern8</t>
  </si>
  <si>
    <t>05h</t>
  </si>
  <si>
    <t>MediaSideGeneratorSupportsPattern7</t>
  </si>
  <si>
    <t>MediaSideGeneratorSupportsPattern6</t>
  </si>
  <si>
    <t>MediaSideGeneratorSupportsPattern5</t>
  </si>
  <si>
    <t>MediaSideGeneratorSupportsPattern4</t>
  </si>
  <si>
    <t>MediaSideGeneratorSupportsPattern3</t>
  </si>
  <si>
    <t>MediaSideGeneratorSupportsPattern2</t>
  </si>
  <si>
    <t>MediaSideGeneratorSupportsPattern1</t>
  </si>
  <si>
    <t>MediaSideGeneratorSupportsPattern0</t>
  </si>
  <si>
    <t>MediaSideGeneratorSupportsPattern15</t>
  </si>
  <si>
    <t>MediaSideGeneratorSupportsPattern14</t>
  </si>
  <si>
    <t>MediaSideGeneratorSupportsPattern13</t>
  </si>
  <si>
    <t>MediaSideGeneratorSupportsPattern12</t>
  </si>
  <si>
    <t>MediaSideGeneratorSupportsPattern11</t>
  </si>
  <si>
    <t>MediaSideGeneratorSupportsPattern10</t>
  </si>
  <si>
    <t>MediaSideGeneratorSupportsPattern9</t>
  </si>
  <si>
    <t>MediaSideGeneratorSupportsPattern8</t>
  </si>
  <si>
    <t>HostSideCheckerSupportsPattern7</t>
  </si>
  <si>
    <t>HostSideCheckerSupportsPattern6</t>
  </si>
  <si>
    <t>HostSideCheckerSupportsPattern5</t>
  </si>
  <si>
    <t>HostSideCheckerSupportsPattern4</t>
  </si>
  <si>
    <t>HostSideCheckerSupportsPattern3</t>
  </si>
  <si>
    <t>HostSideCheckerSupportsPattern2</t>
  </si>
  <si>
    <t>HostSideCheckerSupportsPattern1</t>
  </si>
  <si>
    <t>HostSideCheckerSupportsPattern0</t>
  </si>
  <si>
    <t>HostSideCheckerSupportsPattern15</t>
  </si>
  <si>
    <t>HostSideCheckerSupportsPattern14</t>
  </si>
  <si>
    <t>HostSideCheckerSupportsPattern13</t>
  </si>
  <si>
    <t>HostSideCheckerSupportsPattern12</t>
  </si>
  <si>
    <t>HostSideCheckerSupportsPattern11</t>
  </si>
  <si>
    <t>HostSideCheckerSupportsPattern10</t>
  </si>
  <si>
    <t>HostSideCheckerSupportsPattern9</t>
  </si>
  <si>
    <t>HostSideCheckerSupportsPattern8</t>
  </si>
  <si>
    <t>MediaSideCheckerSupportsPattern7</t>
  </si>
  <si>
    <t>MediaSideCheckerSupportsPattern6</t>
  </si>
  <si>
    <t>MediaSideCheckerSupportsPattern5</t>
  </si>
  <si>
    <t>MediaSideCheckerSupportsPattern4</t>
  </si>
  <si>
    <t>MediaSideCheckerSupportsPattern3</t>
  </si>
  <si>
    <t>MediaSideCheckerSupportsPattern2</t>
  </si>
  <si>
    <t>MediaSideCheckerSupportsPattern1</t>
  </si>
  <si>
    <t>MediaSideCheckerSupportsPattern0</t>
  </si>
  <si>
    <t>MediaSideCheckerSupportsPattern15</t>
  </si>
  <si>
    <t>MediaSideCheckerSupportsPattern14</t>
  </si>
  <si>
    <t>MediaSideCheckerSupportsPattern13</t>
  </si>
  <si>
    <t>MediaSideCheckerSupportsPattern12</t>
  </si>
  <si>
    <t>MediaSideCheckerSupportsPattern11</t>
  </si>
  <si>
    <t>MediaSideCheckerSupportsPattern10</t>
  </si>
  <si>
    <t>MediaSideCheckerSupportsPattern9</t>
  </si>
  <si>
    <t>MediaSideCheckerSupportsPattern8</t>
  </si>
  <si>
    <t>RecoveredClockForGeneratorOptions</t>
  </si>
  <si>
    <t>ReferenceClockForPatternsSupported</t>
  </si>
  <si>
    <t>UserPatternLengthSupported</t>
  </si>
  <si>
    <t>MediaSideCheckerSupportsDataSwap</t>
  </si>
  <si>
    <t>MediaSideCheckerSupportsDataInvert</t>
  </si>
  <si>
    <t>MediaSideGeneratorSupportsDataSwap</t>
  </si>
  <si>
    <t>MediaSideGeneratorSupportsDataInvert</t>
  </si>
  <si>
    <t>HostSideCheckerSupportsDataSwap</t>
  </si>
  <si>
    <t>HostSideCheckerSupportsDataInvert</t>
  </si>
  <si>
    <t>HostSideGeneratorSupportsDataSwap</t>
  </si>
  <si>
    <t>HostSideGeneratorSupportsDataInvert</t>
  </si>
  <si>
    <t>MediaCheckerSupportsPerLaneEnable</t>
  </si>
  <si>
    <t>MediaCheckerSupportsPerLanePattern</t>
  </si>
  <si>
    <t>MediaGeneratorSupportsPerLaneEnable</t>
  </si>
  <si>
    <t>MediaGeneratorSupportsPerLanePattern</t>
  </si>
  <si>
    <t>HostCheckerSupportsPerLaneEnable</t>
  </si>
  <si>
    <t>HostCheckerSupportsPerLanePattern</t>
  </si>
  <si>
    <t>HostGeneratorSupportsPerLaneEnable</t>
  </si>
  <si>
    <t>HostGeneratorSupportsPerLanePattern</t>
  </si>
  <si>
    <t>HostSideGeneratorEnableLane8</t>
  </si>
  <si>
    <t>RW
Adv.</t>
  </si>
  <si>
    <t>HostSideGeneratorEnableLane7</t>
  </si>
  <si>
    <t>HostSideGeneratorEnableLane6</t>
  </si>
  <si>
    <t>HostSideGeneratorEnableLane5</t>
  </si>
  <si>
    <t>HostSideGeneratorEnableLane4</t>
  </si>
  <si>
    <t>HostSideGeneratorEnableLane3</t>
  </si>
  <si>
    <t>HostSideGeneratorEnableLane2</t>
  </si>
  <si>
    <t>HostSideGeneratorEnableLane1</t>
  </si>
  <si>
    <t>HostSideGeneratorDataInvertLane8</t>
  </si>
  <si>
    <t>HostSideGeneratorDataInvertLane7</t>
  </si>
  <si>
    <t>HostSideGeneratorDataInvertLane6</t>
  </si>
  <si>
    <t>HostSideGeneratorDataInvertLane5</t>
  </si>
  <si>
    <t>HostSideGeneratorDataInvertLane4</t>
  </si>
  <si>
    <t>HostSideGeneratorDataInvertLane3</t>
  </si>
  <si>
    <t>HostSideGeneratorDataInvertLane2</t>
  </si>
  <si>
    <t>HostSideGeneratorDataInvertLane1</t>
  </si>
  <si>
    <t>HostSideGeneratorByteSwapLane8</t>
  </si>
  <si>
    <t>HostSideGeneratorByteSwapLane7</t>
  </si>
  <si>
    <t>HostSideGeneratorByteSwapLane6</t>
  </si>
  <si>
    <t>HostSideGeneratorByteSwapLane5</t>
  </si>
  <si>
    <t>HostSideGeneratorByteSwapLane4</t>
  </si>
  <si>
    <t>HostSideGeneratorByteSwapLane3</t>
  </si>
  <si>
    <t>HostSideGeneratorByteSwapLane2</t>
  </si>
  <si>
    <t>HostSideGeneratorByteSwapLane1</t>
  </si>
  <si>
    <t>HostSideGeneratorPreFECEnableLane8</t>
  </si>
  <si>
    <t>HostSideGeneratorPreFECEnableLane7</t>
  </si>
  <si>
    <t>HostSideGeneratorPreFECEnableLane6</t>
  </si>
  <si>
    <t>HostSideGeneratorPreFECEnableLane5</t>
  </si>
  <si>
    <t>HostSideGeneratorPreFECEnableLane4</t>
  </si>
  <si>
    <t>HostSideGeneratorPreFECEnableLane3</t>
  </si>
  <si>
    <t>HostSideGeneratorPreFECEnableLane2</t>
  </si>
  <si>
    <t>HostSideGeneratorPreFECEnableLane1</t>
  </si>
  <si>
    <t>HostSideGeneratorPatternSelectLane2</t>
  </si>
  <si>
    <t>HostSideGeneratorPatternSelectLane1</t>
  </si>
  <si>
    <t>HostSideGeneratorPatternSelectLane4</t>
  </si>
  <si>
    <t>HostSideGeneratorPatternSelectLane3</t>
  </si>
  <si>
    <t>HostSideGeneratorPatternSelectLane6</t>
  </si>
  <si>
    <t>HostSideGeneratorPatternSelectLane5</t>
  </si>
  <si>
    <t>HostSideGeneratorPatternSelectLane8</t>
  </si>
  <si>
    <t>HostSideGeneratorPatternSelectLane7</t>
  </si>
  <si>
    <t>MediaSideGeneratorEnableLane8</t>
  </si>
  <si>
    <t>MediaSideGeneratorEnableLane7</t>
  </si>
  <si>
    <t>MediaSideGeneratorEnableLane6</t>
  </si>
  <si>
    <t>MediaSideGeneratorEnableLane5</t>
  </si>
  <si>
    <t>MediaSideGeneratorEnableLane4</t>
  </si>
  <si>
    <t>MediaSideGeneratorEnableLane3</t>
  </si>
  <si>
    <t>MediaSideGeneratorEnableLane2</t>
  </si>
  <si>
    <t>MediaSideGeneratorEnableLane1</t>
  </si>
  <si>
    <t>MediaSideGeneratorDataInvertLane8</t>
  </si>
  <si>
    <t>MediaSideGeneratorDataInvertLane7</t>
  </si>
  <si>
    <t>MediaSideGeneratorDataInvertLane6</t>
  </si>
  <si>
    <t>MediaSideGeneratorDataInvertLane5</t>
  </si>
  <si>
    <t>MediaSideGeneratorDataInvertLane4</t>
  </si>
  <si>
    <t>MediaSideGeneratorDataInvertLane3</t>
  </si>
  <si>
    <t>MediaSideGeneratorDataInvertLane2</t>
  </si>
  <si>
    <t>MediaSideGeneratorDataInvertLane1</t>
  </si>
  <si>
    <t>MediaSideGeneratorByteSwapLane8</t>
  </si>
  <si>
    <t>MediaSideGeneratorByteSwapLane7</t>
  </si>
  <si>
    <t>MediaSideGeneratorByteSwapLane6</t>
  </si>
  <si>
    <t>MediaSideGeneratorByteSwapLane5</t>
  </si>
  <si>
    <t>MediaSideGeneratorByteSwapLane4</t>
  </si>
  <si>
    <t>MediaSideGeneratorByteSwapLane3</t>
  </si>
  <si>
    <t>MediaSideGeneratorByteSwapLane2</t>
  </si>
  <si>
    <t>MediaSideGeneratorByteSwapLane1</t>
  </si>
  <si>
    <t>MediaSideGeneratorPreFECEnableLane8</t>
  </si>
  <si>
    <t>MediaSideGeneratorPreFECEnableLane7</t>
  </si>
  <si>
    <t>MediaSideGeneratorPreFECEnableLane6</t>
  </si>
  <si>
    <t>MediaSideGeneratorPreFECEnableLane5</t>
  </si>
  <si>
    <t>MediaSideGeneratorPreFECEnableLane4</t>
  </si>
  <si>
    <t>MediaSideGeneratorPreFECEnableLane3</t>
  </si>
  <si>
    <t>MediaSideGeneratorPreFECEnableLane2</t>
  </si>
  <si>
    <t>MediaSideGeneratorPreFECEnableLane1</t>
  </si>
  <si>
    <t>MediaSideGeneratorPatternSelectLane2</t>
  </si>
  <si>
    <t>MediaSideGeneratorPatternSelectLane1</t>
  </si>
  <si>
    <t>MediaSideGeneratorPatternSelectLane4</t>
  </si>
  <si>
    <t>MediaSideGeneratorPatternSelectLane3</t>
  </si>
  <si>
    <t>MediaSideGeneratorPatternSelectLane6</t>
  </si>
  <si>
    <t>MediaSideGeneratorPatternSelectLane5</t>
  </si>
  <si>
    <t>MediaSideGeneratorPatternSelectLane8</t>
  </si>
  <si>
    <t>MediaSideGeneratorPatternSelectLane7</t>
  </si>
  <si>
    <t>HostSideCheckerEnableLane8</t>
  </si>
  <si>
    <t>HostSideCheckerEnableLane7</t>
  </si>
  <si>
    <t>HostSideCheckerEnableLane6</t>
  </si>
  <si>
    <t>HostSideCheckerEnableLane5</t>
  </si>
  <si>
    <t>HostSideCheckerEnableLane4</t>
  </si>
  <si>
    <t>HostSideCheckerEnableLane3</t>
  </si>
  <si>
    <t>HostSideCheckerEnableLane2</t>
  </si>
  <si>
    <t>HostSideCheckerEnableLane1</t>
  </si>
  <si>
    <t>HostSideCheckerDataInvertLane8</t>
  </si>
  <si>
    <t>HostSideCheckerDataInvertLane7</t>
  </si>
  <si>
    <t>HostSideCheckerDataInvertLane6</t>
  </si>
  <si>
    <t>HostSideCheckerDataInvertLane5</t>
  </si>
  <si>
    <t>HostSideCheckerDataInvertLane4</t>
  </si>
  <si>
    <t>HostSideCheckerDataInvertLane3</t>
  </si>
  <si>
    <t>HostSideCheckerDataInvertLane2</t>
  </si>
  <si>
    <t>HostSideCheckerDataInvertLane1</t>
  </si>
  <si>
    <t>HostSideCheckerByteSwapLane8</t>
  </si>
  <si>
    <t>HostSideCheckerByteSwapLane7</t>
  </si>
  <si>
    <t>HostSideCheckerByteSwapLane6</t>
  </si>
  <si>
    <t>HostSideCheckerByteSwapLane5</t>
  </si>
  <si>
    <t>HostSideCheckerByteSwapLane4</t>
  </si>
  <si>
    <t>HostSideCheckerByteSwapLane3</t>
  </si>
  <si>
    <t>HostSideCheckerByteSwapLane2</t>
  </si>
  <si>
    <t>HostSideCheckerByteSwapLane1</t>
  </si>
  <si>
    <t>HostSideCheckerPostFECEnableLane8</t>
  </si>
  <si>
    <t>HostSideCheckerPostFECEnableLane7</t>
  </si>
  <si>
    <t>HostSideCheckerPostFECEnableLane6</t>
  </si>
  <si>
    <t>HostSideCheckerPostFECEnableLane5</t>
  </si>
  <si>
    <t>HostSideCheckerPostFECEnableLane4</t>
  </si>
  <si>
    <t>HostSideCheckerPostFECEnableLane3</t>
  </si>
  <si>
    <t>HostSideCheckerPostFECEnableLane2</t>
  </si>
  <si>
    <t>HostSideCheckerPostFECEnableLane1</t>
  </si>
  <si>
    <t>HostSideCheckerPatternSelectLane2</t>
  </si>
  <si>
    <t>HostSideCheckerPatternSelectLane1</t>
  </si>
  <si>
    <t>HostSideCheckerPatternSelectLane4</t>
  </si>
  <si>
    <t>HostSideCheckerPatternSelectLane3</t>
  </si>
  <si>
    <t>HostSideCheckerPatternSelectLane6</t>
  </si>
  <si>
    <t>HostSideCheckerPatternSelectLane5</t>
  </si>
  <si>
    <t>HostSideCheckerPatternSelectLane8</t>
  </si>
  <si>
    <t>HostSideCheckerPatternSelectLane7</t>
  </si>
  <si>
    <t>MediaSideCheckerEnableLane8</t>
  </si>
  <si>
    <t>MediaSideCheckerEnableLane7</t>
  </si>
  <si>
    <t>MediaSideCheckerEnableLane6</t>
  </si>
  <si>
    <t>MediaSideCheckerEnableLane5</t>
  </si>
  <si>
    <t>MediaSideCheckerEnableLane4</t>
  </si>
  <si>
    <t>MediaSideCheckerEnableLane3</t>
  </si>
  <si>
    <t>MediaSideCheckerEnableLane2</t>
  </si>
  <si>
    <t>MediaSideCheckerEnableLane1</t>
  </si>
  <si>
    <t>MediaSideCheckerDataInvertLane8</t>
  </si>
  <si>
    <t>MediaSideCheckerDataInvertLane7</t>
  </si>
  <si>
    <t>MediaSideCheckerDataInvertLane6</t>
  </si>
  <si>
    <t>MediaSideCheckerDataInvertLane5</t>
  </si>
  <si>
    <t>MediaSideCheckerDataInvertLane4</t>
  </si>
  <si>
    <t>MediaSideCheckerDataInvertLane3</t>
  </si>
  <si>
    <t>MediaSideCheckerDataInvertLane2</t>
  </si>
  <si>
    <t>MediaSideCheckerDataInvertLane1</t>
  </si>
  <si>
    <t>MediaSideCheckerByteSwapLane8</t>
  </si>
  <si>
    <t>MediaSideCheckerByteSwapLane7</t>
  </si>
  <si>
    <t>MediaSideCheckerByteSwapLane6</t>
  </si>
  <si>
    <t>MediaSideCheckerByteSwapLane5</t>
  </si>
  <si>
    <t>MediaSideCheckerByteSwapLane4</t>
  </si>
  <si>
    <t>MediaSideCheckerByteSwapLane3</t>
  </si>
  <si>
    <t>MediaSideCheckerByteSwapLane2</t>
  </si>
  <si>
    <t>MediaSideCheckerByteSwapLane1</t>
  </si>
  <si>
    <t>MediaSideCheckerPostFECEnableLane8</t>
  </si>
  <si>
    <t>MediaSideCheckerPostFECEnableLane7</t>
  </si>
  <si>
    <t>MediaSideCheckerPostFECEnableLane6</t>
  </si>
  <si>
    <t>MediaSideCheckerPostFECEnableLane5</t>
  </si>
  <si>
    <t>MediaSideCheckerPostFECEnableLane4</t>
  </si>
  <si>
    <t>MediaSideCheckerPostFECEnableLane3</t>
  </si>
  <si>
    <t>MediaSideCheckerPostFECEnableLane2</t>
  </si>
  <si>
    <t>MediaSideCheckerPostFECEnableLane1</t>
  </si>
  <si>
    <t>MediaSideCheckerPatternSelectLane2</t>
  </si>
  <si>
    <t>MediaSideCheckerPatternSelectLane1</t>
  </si>
  <si>
    <t>MediaSideCheckerPatternSelectLane4</t>
  </si>
  <si>
    <t>MediaSideCheckerPatternSelectLane3</t>
  </si>
  <si>
    <t>MediaSideCheckerPatternSelectLane6</t>
  </si>
  <si>
    <t>MediaSideCheckerPatternSelectLane5</t>
  </si>
  <si>
    <t>MediaSideCheckerPatternSelectLane8</t>
  </si>
  <si>
    <t>MediaSideCheckerPatternSelectLane7</t>
  </si>
  <si>
    <t>HostPRBSGeneratorClockSource</t>
  </si>
  <si>
    <t>RW
Opt.</t>
  </si>
  <si>
    <t>MediaPRBSGeneratorClockSource</t>
  </si>
  <si>
    <t>StartStopIsGlobal</t>
  </si>
  <si>
    <t>A start/stop control change acts on current Bank</t>
  </si>
  <si>
    <t>ResetErrorInformation</t>
  </si>
  <si>
    <t>AutoRestartGating</t>
  </si>
  <si>
    <t>MeasurementTime</t>
  </si>
  <si>
    <t>UpdatePeriodSelect</t>
  </si>
  <si>
    <t>80h</t>
  </si>
  <si>
    <t>1 sec update interval</t>
  </si>
  <si>
    <t>HostPRBSCheckerClockSource</t>
  </si>
  <si>
    <t>MediaPRBSCheckerClockSource</t>
  </si>
  <si>
    <t>MediaSideOutputLoopbackEnableLane8</t>
  </si>
  <si>
    <t>RWW
Adv.</t>
  </si>
  <si>
    <t>MediaSideOutputLoopbackEnableLane7</t>
  </si>
  <si>
    <t>MediaSideOutputLoopbackEnableLane6</t>
  </si>
  <si>
    <t>MediaSideOutputLoopbackEnableLane5</t>
  </si>
  <si>
    <t>MediaSideOutputLoopbackEnableLane4</t>
  </si>
  <si>
    <t>MediaSideOutputLoopbackEnableLane3</t>
  </si>
  <si>
    <t>MediaSideOutputLoopbackEnableLane2</t>
  </si>
  <si>
    <t>MediaSideOutputLoopbackEnableLane1</t>
  </si>
  <si>
    <t>MediaSideInputLoopbackEnableLane8</t>
  </si>
  <si>
    <t>MediaSideInputLoopbackEnableLane7</t>
  </si>
  <si>
    <t>MediaSideInputLoopbackEnableLane6</t>
  </si>
  <si>
    <t>MediaSideInputLoopbackEnableLane5</t>
  </si>
  <si>
    <t>MediaSideInputLoopbackEnableLane4</t>
  </si>
  <si>
    <t>MediaSideInputLoopbackEnableLane3</t>
  </si>
  <si>
    <t>MediaSideInputLoopbackEnableLane2</t>
  </si>
  <si>
    <t>MediaSideInputLoopbackEnableLane1</t>
  </si>
  <si>
    <t>HostSideOutputLoopbackEnableLane8</t>
  </si>
  <si>
    <t>HostSideOutputLoopbackEnableLane7</t>
  </si>
  <si>
    <t>HostSideOutputLoopbackEnableLane6</t>
  </si>
  <si>
    <t>HostSideOutputLoopbackEnableLane5</t>
  </si>
  <si>
    <t>HostSideOutputLoopbackEnableLane4</t>
  </si>
  <si>
    <t>HostSideOutputLoopbackEnableLane3</t>
  </si>
  <si>
    <t>HostSideOutputLoopbackEnableLane2</t>
  </si>
  <si>
    <t>HostSideOutputLoopbackEnableLane1</t>
  </si>
  <si>
    <t>HostSideInputLoopbackEnableLane8</t>
  </si>
  <si>
    <t>HostSideInputLoopbackEnableLane7</t>
  </si>
  <si>
    <t>HostSideInputLoopbackEnableLane6</t>
  </si>
  <si>
    <t>HostSideInputLoopbackEnableLane5</t>
  </si>
  <si>
    <t>HostSideInputLoopbackEnableLane4</t>
  </si>
  <si>
    <t>HostSideInputLoopbackEnableLane3</t>
  </si>
  <si>
    <t>HostSideInputLoopbackEnableLane2</t>
  </si>
  <si>
    <t>HostSideInputLoopbackEnableLane1</t>
  </si>
  <si>
    <t>HostScratchPad0</t>
  </si>
  <si>
    <t>HostScratchPad1</t>
  </si>
  <si>
    <t>HostScratchPad2</t>
  </si>
  <si>
    <t>HostScratchPad3</t>
  </si>
  <si>
    <t>HostScratchPad4</t>
  </si>
  <si>
    <t>HostScratchPad5</t>
  </si>
  <si>
    <t>HostScratchPad6</t>
  </si>
  <si>
    <t>HostScratchPad7</t>
  </si>
  <si>
    <t>192-195</t>
  </si>
  <si>
    <t>C0-C3</t>
  </si>
  <si>
    <t>Reserved[12]</t>
  </si>
  <si>
    <t>196-205</t>
  </si>
  <si>
    <t>C4-CD</t>
  </si>
  <si>
    <t>Custom[10]</t>
  </si>
  <si>
    <t>00h 00h 00h 00h 00h 00h 00h 00h 00h 00h</t>
  </si>
  <si>
    <t>LossOfReferenceClockMask</t>
  </si>
  <si>
    <t>PatternCheckGatingCompleteMaskHostLane8</t>
  </si>
  <si>
    <t>PatternCheckGatingCompleteMaskHostLane7</t>
  </si>
  <si>
    <t>PatternCheckGatingCompleteMaskHostLane6</t>
  </si>
  <si>
    <t>PatternCheckGatingCompleteMaskHostLane5</t>
  </si>
  <si>
    <t>PatternCheckGatingCompleteMaskHostLane4</t>
  </si>
  <si>
    <t>PatternCheckGatingCompleteMaskHostLane3</t>
  </si>
  <si>
    <t>PatternCheckGatingCompleteMaskHostLane2</t>
  </si>
  <si>
    <t>PatternCheckGatingCompleteMaskHostLane1</t>
  </si>
  <si>
    <t>PatternCheckGatingCompleteMaskMediaLane8</t>
  </si>
  <si>
    <t>PatternCheckGatingCompleteMaskMediaLane7</t>
  </si>
  <si>
    <t>PatternCheckGatingCompleteMaskMediaLane6</t>
  </si>
  <si>
    <t>PatternCheckGatingCompleteMaskMediaLane5</t>
  </si>
  <si>
    <t>PatternCheckGatingCompleteMaskMediaLane4</t>
  </si>
  <si>
    <t>PatternCheckGatingCompleteMaskMediaLane3</t>
  </si>
  <si>
    <t>PatternCheckGatingCompleteMaskMediaLane2</t>
  </si>
  <si>
    <t>PatternCheckGatingCompleteMaskMediaLane1</t>
  </si>
  <si>
    <t>PatternGeneratorLOLMaskHostLane8</t>
  </si>
  <si>
    <t>PatternGeneratorLOLMaskHostLane7</t>
  </si>
  <si>
    <t>PatternGeneratorLOLMaskHostLane6</t>
  </si>
  <si>
    <t>PatternGeneratorLOLMaskHostLane5</t>
  </si>
  <si>
    <t>PatternGeneratorLOLMaskHostLane4</t>
  </si>
  <si>
    <t>PatternGeneratorLOLMaskHostLane3</t>
  </si>
  <si>
    <t>PatternGeneratorLOLMaskHostLane2</t>
  </si>
  <si>
    <t>PatternGeneratorLOLMaskHostLane1</t>
  </si>
  <si>
    <t>PatternGeneratorLOLMaskMediaLane8</t>
  </si>
  <si>
    <t>PatternGeneratorLOLMaskMediaLane7</t>
  </si>
  <si>
    <t>PatternGeneratorLOLMaskMediaLane6</t>
  </si>
  <si>
    <t>PatternGeneratorLOLMaskMediaLane5</t>
  </si>
  <si>
    <t>PatternGeneratorLOLMaskMediaLane4</t>
  </si>
  <si>
    <t>PatternGeneratorLOLMaskMediaLane3</t>
  </si>
  <si>
    <t>PatternGeneratorLOLMaskMediaLane2</t>
  </si>
  <si>
    <t>PatternGeneratorLOLMaskMediaLane1</t>
  </si>
  <si>
    <t>PatternCheckerLOLMaskHostLane8</t>
  </si>
  <si>
    <t>PatternCheckerLOLMaskHostLane7</t>
  </si>
  <si>
    <t>PatternCheckerLOLMaskHostLane6</t>
  </si>
  <si>
    <t>PatternCheckerLOLMaskHostLane5</t>
  </si>
  <si>
    <t>PatternCheckerLOLMaskHostLane4</t>
  </si>
  <si>
    <t>PatternCheckerLOLMaskHostLane3</t>
  </si>
  <si>
    <t>PatternCheckerLOLMaskHostLane2</t>
  </si>
  <si>
    <t>PatternCheckerLOLMaskHostLane1</t>
  </si>
  <si>
    <t>PatternCheckerLOLMaskMediaLane8</t>
  </si>
  <si>
    <t>PatternCheckerLOLMaskMediaLane7</t>
  </si>
  <si>
    <t>PatternCheckerLOLMaskMediaLane6</t>
  </si>
  <si>
    <t>PatternCheckerLOLMaskMediaLane5</t>
  </si>
  <si>
    <t>PatternCheckerLOLMaskMediaLane4</t>
  </si>
  <si>
    <t>PatternCheckerLOLMaskMediaLane3</t>
  </si>
  <si>
    <t>PatternCheckerLOLMaskMediaLane2</t>
  </si>
  <si>
    <t>PatternCheckerLOLMaskMediaLane1</t>
  </si>
  <si>
    <t>214-223</t>
  </si>
  <si>
    <t>D6-DF</t>
  </si>
  <si>
    <t>Reserved[10]</t>
  </si>
  <si>
    <t>UserPattern[32]</t>
  </si>
  <si>
    <t>Low alarm</t>
  </si>
  <si>
    <t>Low warning</t>
  </si>
  <si>
    <t>High warning</t>
  </si>
  <si>
    <t>High alarm</t>
  </si>
  <si>
    <t>Laser Age (0% at BOL, 100% EOL)</t>
  </si>
  <si>
    <t>TEC Current</t>
  </si>
  <si>
    <t>Laser Frequency Error</t>
  </si>
  <si>
    <t>Laser Temperature</t>
  </si>
  <si>
    <t>Y</t>
  </si>
  <si>
    <t>-5 degC</t>
  </si>
  <si>
    <t>0 degC</t>
  </si>
  <si>
    <t>85 degC</t>
  </si>
  <si>
    <t>90 degC</t>
  </si>
  <si>
    <t>eSNR Media Input</t>
  </si>
  <si>
    <t>eSNR Host Input</t>
  </si>
  <si>
    <t>PAM4 Level Transition Parameter Media Input</t>
  </si>
  <si>
    <t>PAM4 Level Transition Parameter Host Input</t>
  </si>
  <si>
    <t>Pre-FEC BER Minimum Sample Media Input</t>
  </si>
  <si>
    <t>Pre-FEC BER Minimum Sample Host Input</t>
  </si>
  <si>
    <t>Pre-FEC BER Maximum Sample Media Input</t>
  </si>
  <si>
    <t>Pre-FEC BER Maximum Sample Host Input</t>
  </si>
  <si>
    <t>Pre-FEC BER Sample Average Media Input</t>
  </si>
  <si>
    <t>Pre-FEC BER Sample Average Host Input</t>
  </si>
  <si>
    <t>Pre-FEC BER Current Sample Media Input</t>
  </si>
  <si>
    <t>Pre-FEC BER Current Sample Host Input</t>
  </si>
  <si>
    <t>FERC Minimum Sample Value Media Input</t>
  </si>
  <si>
    <t>FERC Minimum Sample Value Host Input</t>
  </si>
  <si>
    <t>FERC Maximum Sample Value Media Input</t>
  </si>
  <si>
    <t>FERC Maximum Sample Value Host Input</t>
  </si>
  <si>
    <t>FERC Sample Average Value Media Input</t>
  </si>
  <si>
    <t>FERC Sample Average Value Host Input</t>
  </si>
  <si>
    <t>FERC Current Sample Value Media Input</t>
  </si>
  <si>
    <t>FERC Current Sample Value Host Input</t>
  </si>
  <si>
    <t>FERC Total Accumulated Media Input</t>
  </si>
  <si>
    <t>FERC Total Accumulated Host Input</t>
  </si>
  <si>
    <t>SEWmax Minimum Media Input</t>
  </si>
  <si>
    <t>SEWmax Minimum Host Input</t>
  </si>
  <si>
    <t>SEWmax Maximum Media Input</t>
  </si>
  <si>
    <t>SEWmax Maximum Host Input</t>
  </si>
  <si>
    <t>SEWmax Average Media Input</t>
  </si>
  <si>
    <t>SEWmax Average Host Input</t>
  </si>
  <si>
    <t>SEWmax Current Media Input</t>
  </si>
  <si>
    <t>SEWmax Current Host Input</t>
  </si>
  <si>
    <t>CMD Code</t>
  </si>
  <si>
    <t>Name</t>
  </si>
  <si>
    <t>0000h</t>
  </si>
  <si>
    <t xml:space="preserve">QUERY - Status </t>
  </si>
  <si>
    <t>Must to have</t>
  </si>
  <si>
    <t>The module returns a CDB status of success (01h) as well as some basic status information of the module, such as password unlock status. This can also be used to check if CDB is implemented.</t>
  </si>
  <si>
    <t>0001h</t>
  </si>
  <si>
    <t>Enter Password</t>
  </si>
  <si>
    <t>Vendor specify the implementation</t>
  </si>
  <si>
    <t>0002h</t>
  </si>
  <si>
    <t>Change Password</t>
  </si>
  <si>
    <t>0004h</t>
  </si>
  <si>
    <t>General Abort</t>
  </si>
  <si>
    <t>Abort Current Background Operation.</t>
  </si>
  <si>
    <t>0040h</t>
  </si>
  <si>
    <t>Module Features Implemented</t>
  </si>
  <si>
    <t>Advertise which commands are supported. CMD Codes 0000h to 00FFh.</t>
  </si>
  <si>
    <t>0041h</t>
  </si>
  <si>
    <t>Firmware Upgrade features Implemented</t>
  </si>
  <si>
    <t>Advertise all firmware update features. CMD Codes 0100h to 011Fh.</t>
  </si>
  <si>
    <t>0042h</t>
  </si>
  <si>
    <t>Performance Monitoring features Implemented</t>
  </si>
  <si>
    <t>Advertise all performance monitoring features.CMD Codes 0200h to 02FFh.</t>
  </si>
  <si>
    <t>0043h</t>
  </si>
  <si>
    <t>Diagnostics Features Implemented</t>
  </si>
  <si>
    <t>Advertise all diagnostics features. CMD Codes 0300h to 03FFh.</t>
  </si>
  <si>
    <t>0044h</t>
  </si>
  <si>
    <t>Security Features</t>
  </si>
  <si>
    <t>Advertise all security related commands and features. CMD Codes 0400h to 04FFh.</t>
  </si>
  <si>
    <t>0045h</t>
  </si>
  <si>
    <t>Externally Defined Features</t>
  </si>
  <si>
    <t>Advertise all CMIS supplement specifications that define CDB messages in a dedicated part of the restricted. CMD Codes from 4000h to 7FFFh.</t>
  </si>
  <si>
    <t>0100h</t>
  </si>
  <si>
    <t>Get Firmware Info</t>
  </si>
  <si>
    <t>This command returns the firmware versions and firmware default running images that reside in the module. Firmware images A, B and either a factory or boot firmware image version.</t>
  </si>
  <si>
    <t>0101h</t>
  </si>
  <si>
    <t>Start Firmware Download</t>
  </si>
  <si>
    <t>The module may erase the whole image or simply prepare for the firmware to be updated. The duration of this command depends on the host-written payload of the command. A complete erase of an image may take 3 several seconds.</t>
  </si>
  <si>
    <t>0102h</t>
  </si>
  <si>
    <t>Abort Firmware Download</t>
  </si>
  <si>
    <t>Aborts the firmware update process.</t>
  </si>
  <si>
    <t>0103h</t>
  </si>
  <si>
    <t>Write Firmware Image using LPL</t>
  </si>
  <si>
    <t>Write one block of the firmware image into the LPL</t>
  </si>
  <si>
    <t>0104h</t>
  </si>
  <si>
    <t>Write Firmware Image using EPL</t>
  </si>
  <si>
    <t>Write one block of the firmware image into the EPL</t>
  </si>
  <si>
    <t>0105h</t>
  </si>
  <si>
    <t>Read Firmware Image using LPL</t>
  </si>
  <si>
    <t>Read firmware image from the indicated block in non-volatile storage into the LPL</t>
  </si>
  <si>
    <t>0106h</t>
  </si>
  <si>
    <t>Read Firmware Image using EPL</t>
  </si>
  <si>
    <t>Read firmware image from the indicated block in non-volatile storage into the EPL</t>
  </si>
  <si>
    <t>0107h</t>
  </si>
  <si>
    <t>Complete Firmware Download</t>
  </si>
  <si>
    <t>When the host issues this command, the module shall validate the complete image and then return success or failure (could be checksum failure)</t>
  </si>
  <si>
    <t>0108h</t>
  </si>
  <si>
    <t>Copy Firmware Image</t>
  </si>
  <si>
    <t xml:space="preserve">Copy Firmware Image is an optional command within the firmware download commands that may be used in the firmware update process. </t>
  </si>
  <si>
    <t>0109h</t>
  </si>
  <si>
    <t>Run Firmware Image</t>
  </si>
  <si>
    <t>The host uses this command to run a selected image from module internal firmware banks. 
For example, after the firmware has been updated, this command may be used to switch to the new firmware version. The host may use CMD 0100h to determine both the active and inactive firmware versions. 
Executing the Run Image command may potentially be hitless, non-disruptive or minimally disruptive to high-speed traffic. Behavior of the module and its control loop transients during resets are vendor and technology dependent.</t>
  </si>
  <si>
    <t>010Ah</t>
  </si>
  <si>
    <t>Commit Firmware Image</t>
  </si>
  <si>
    <t>A Commit is the process where the “running” image is set to be the image to be used on exit from module reset. In other words, a committed image is the image that will run and is expected to be a 'good' firmware version to run upon any resets (including watch dog). 
This command is used to switch the committed image after the firmware update process, when the new firmware is running and when the host has determined that the new firmware is working properly. The module shall only execute a Commit Image command on the image that it is currently running. If a non-running image is allowed to be committed, it is possible that a bad version may be committed and attempted to run after the 8 next module reset.</t>
  </si>
  <si>
    <t>0200h</t>
  </si>
  <si>
    <t xml:space="preserve">Control PM </t>
  </si>
  <si>
    <t>General Performance Monitoring Controls</t>
  </si>
  <si>
    <t>0201h</t>
  </si>
  <si>
    <t>Get PM Feature Information</t>
  </si>
  <si>
    <t>Advertisement on optional PM is supported</t>
  </si>
  <si>
    <t>0210h</t>
  </si>
  <si>
    <t>Get PM Module LPL</t>
  </si>
  <si>
    <t xml:space="preserve">Get Module-level X16 PM using LPL </t>
  </si>
  <si>
    <t>0211h</t>
  </si>
  <si>
    <t>Get PM Module EPL</t>
  </si>
  <si>
    <t>Get Module-level X16 PM using EPL</t>
  </si>
  <si>
    <t>0212h</t>
  </si>
  <si>
    <t>Get PM Host Side LPL</t>
  </si>
  <si>
    <t>Get Lane-specific host side X16 PM using LPL</t>
  </si>
  <si>
    <t>0213h</t>
  </si>
  <si>
    <t>Get PM Host Side EPL</t>
  </si>
  <si>
    <t>Get Lane-specific host side X16 PM using EPL</t>
  </si>
  <si>
    <t>0214h</t>
  </si>
  <si>
    <t>Get PM Media Side LPL</t>
  </si>
  <si>
    <t>Get Lane-specific media side X16PM using LPL</t>
  </si>
  <si>
    <t>0215h</t>
  </si>
  <si>
    <t>Get PM Media Side EPL</t>
  </si>
  <si>
    <t xml:space="preserve">Get Lane-specific media side X16 PM using EPL </t>
  </si>
  <si>
    <t>0216h</t>
  </si>
  <si>
    <t>Get PM Data Path LPL</t>
  </si>
  <si>
    <t>Get Lane-specific Data Path X16 PM using LPL</t>
  </si>
  <si>
    <t>0217h</t>
  </si>
  <si>
    <t>Get PM Data Path EPL</t>
  </si>
  <si>
    <t>Get Lane-specific Data Path X16 PM using EPL</t>
  </si>
  <si>
    <t>0220h</t>
  </si>
  <si>
    <t>Get Data Path RMON Statistics</t>
  </si>
  <si>
    <t>TBD</t>
  </si>
  <si>
    <t>0230h</t>
  </si>
  <si>
    <t>Control Data Path SEW Histogram</t>
  </si>
  <si>
    <t>Control FEC Symbol Error Weight Histogram</t>
  </si>
  <si>
    <t>0231h</t>
  </si>
  <si>
    <t>Get Data Path SEW Histogram</t>
  </si>
  <si>
    <t>Get FEC Symbol Error Weight Histogram</t>
  </si>
  <si>
    <t>0232h</t>
  </si>
  <si>
    <t>Control Data Path SEWmax Stats</t>
  </si>
  <si>
    <t>Control Max FEC Symbol Error Weight Statistics</t>
  </si>
  <si>
    <t>0233h</t>
  </si>
  <si>
    <t>Get Data Path SEWmax Stats</t>
  </si>
  <si>
    <t>Get Max FEC Symbol Error Weight Statistics</t>
  </si>
  <si>
    <t>0380h</t>
  </si>
  <si>
    <t>Loopbacks</t>
  </si>
  <si>
    <t>Basic loopback modes are available using features supported via Page 13h and Page 14h. 
This CDB command is reserved for additional loopback capabilities.</t>
  </si>
  <si>
    <t>0400h</t>
  </si>
  <si>
    <t>Get IDevID Certificate in LPL</t>
  </si>
  <si>
    <t>0401h</t>
  </si>
  <si>
    <t>Get IDevID Certificate in EPL</t>
  </si>
  <si>
    <t>0402h</t>
  </si>
  <si>
    <t>Set Digest To Sign given in LPL</t>
  </si>
  <si>
    <t>0403h</t>
  </si>
  <si>
    <t>Set Digest To Sign given in EPL</t>
  </si>
  <si>
    <t>0404h</t>
  </si>
  <si>
    <t>Get Digest Signature in LPL</t>
  </si>
  <si>
    <t>0405h</t>
  </si>
  <si>
    <t>Get Digest Signature in EPL</t>
  </si>
  <si>
    <t>128</t>
  </si>
  <si>
    <t>7</t>
  </si>
  <si>
    <t>DPDeinitLane8</t>
  </si>
  <si>
    <t>Data Path initialization control</t>
  </si>
  <si>
    <t>6</t>
  </si>
  <si>
    <t>DPDeinitLane7</t>
  </si>
  <si>
    <t>5</t>
  </si>
  <si>
    <t>DPDeinitLane6</t>
  </si>
  <si>
    <t>4</t>
  </si>
  <si>
    <t>DPDeinitLane5</t>
  </si>
  <si>
    <t>3</t>
  </si>
  <si>
    <t>DPDeinitLane4</t>
  </si>
  <si>
    <t>2</t>
  </si>
  <si>
    <t>DPDeinitLane3</t>
  </si>
  <si>
    <t>1</t>
  </si>
  <si>
    <t>DPDeinitLane2</t>
  </si>
  <si>
    <t>0</t>
  </si>
  <si>
    <t>DPDeinitLane1</t>
  </si>
  <si>
    <t>129</t>
  </si>
  <si>
    <t>InputPolarityFlipTx8</t>
  </si>
  <si>
    <t>Tx input polarity flip</t>
  </si>
  <si>
    <t>InputPolarityFlipTx7</t>
  </si>
  <si>
    <t>InputPolarityFlipTx6</t>
  </si>
  <si>
    <t>InputPolarityFlipTx5</t>
  </si>
  <si>
    <t>InputPolarityFlipTx4</t>
  </si>
  <si>
    <t>InputPolarityFlipTx3</t>
  </si>
  <si>
    <t>InputPolarityFlipTx2</t>
  </si>
  <si>
    <t>InputPolarityFlipTx1</t>
  </si>
  <si>
    <t>130</t>
  </si>
  <si>
    <t>OutputDisableTx8</t>
  </si>
  <si>
    <t>Tx output disable</t>
  </si>
  <si>
    <t>OutputDisableTx7</t>
  </si>
  <si>
    <t>OutputDisableTx6</t>
  </si>
  <si>
    <t>OutputDisableTx5</t>
  </si>
  <si>
    <t>OutputDisableTx4</t>
  </si>
  <si>
    <t>OutputDisableTx3</t>
  </si>
  <si>
    <t>OutputDisableTx2</t>
  </si>
  <si>
    <t>OutputDisableTx1</t>
  </si>
  <si>
    <t>131</t>
  </si>
  <si>
    <t>AutoSquelchDisableTx8</t>
  </si>
  <si>
    <t>Disable automatic Tx squelch</t>
  </si>
  <si>
    <t>AutoSquelchDisableTx7</t>
  </si>
  <si>
    <t>AutoSquelchDisableTx6</t>
  </si>
  <si>
    <t>AutoSquelchDisableTx5</t>
  </si>
  <si>
    <t>AutoSquelchDisableTx4</t>
  </si>
  <si>
    <t>AutoSquelchDisableTx3</t>
  </si>
  <si>
    <t>AutoSquelchDisableTx2</t>
  </si>
  <si>
    <t>AutoSquelchDisableTx1</t>
  </si>
  <si>
    <t>132</t>
  </si>
  <si>
    <t>OutputSquelchForceTx8</t>
  </si>
  <si>
    <t>Force Tx output squelch</t>
  </si>
  <si>
    <t>OutputSquelchForceTx7</t>
  </si>
  <si>
    <t>OutputSquelchForceTx6</t>
  </si>
  <si>
    <t>OutputSquelchForceTx5</t>
  </si>
  <si>
    <t>OutputSquelchForceTx4</t>
  </si>
  <si>
    <t>OutputSquelchForceTx3</t>
  </si>
  <si>
    <t>OutputSquelchForceTx2</t>
  </si>
  <si>
    <t>OutputSquelchForceTx1</t>
  </si>
  <si>
    <t>133</t>
  </si>
  <si>
    <t>Reserved byte</t>
  </si>
  <si>
    <t>134</t>
  </si>
  <si>
    <t>AdaptiveInputEqFreezeTx8</t>
  </si>
  <si>
    <t>Freeze Tx input equalizer adaptation</t>
  </si>
  <si>
    <t>AdaptiveInputEqFreezeTx7</t>
  </si>
  <si>
    <t>AdaptiveInputEqFreezeTx6</t>
  </si>
  <si>
    <t>AdaptiveInputEqFreezeTx5</t>
  </si>
  <si>
    <t>AdaptiveInputEqFreezeTx4</t>
  </si>
  <si>
    <t>AdaptiveInputEqFreezeTx3</t>
  </si>
  <si>
    <t>AdaptiveInputEqFreezeTx2</t>
  </si>
  <si>
    <t>AdaptiveInputEqFreezeTx1</t>
  </si>
  <si>
    <t>135</t>
  </si>
  <si>
    <t>AdaptiveInputEqStoreTx4</t>
  </si>
  <si>
    <t>WO Adv.</t>
  </si>
  <si>
    <t>Store Tx input equalizer adaptation</t>
  </si>
  <si>
    <t>AdaptiveInputEqStoreTx3</t>
  </si>
  <si>
    <t>AdaptiveInputEqStoreTx2</t>
  </si>
  <si>
    <t>AdaptiveInputEqStoreTx1</t>
  </si>
  <si>
    <t>136</t>
  </si>
  <si>
    <t>AdaptiveInputEqStoreTx8</t>
  </si>
  <si>
    <t>AdaptiveInputEqStoreTx7</t>
  </si>
  <si>
    <t>AdaptiveInputEqStoreTx6</t>
  </si>
  <si>
    <t>AdaptiveInputEqStoreTx5</t>
  </si>
  <si>
    <t>137</t>
  </si>
  <si>
    <t>OutputPolarityFlipRx8</t>
  </si>
  <si>
    <t>Rx output polarity flip</t>
  </si>
  <si>
    <t>OutputPolarityFlipRx7</t>
  </si>
  <si>
    <t>OutputPolarityFlipRx6</t>
  </si>
  <si>
    <t>OutputPolarityFlipRx5</t>
  </si>
  <si>
    <t>OutputPolarityFlipRx4</t>
  </si>
  <si>
    <t>OutputPolarityFlipRx3</t>
  </si>
  <si>
    <t>OutputPolarityFlipRx2</t>
  </si>
  <si>
    <t>OutputPolarityFlipRx1</t>
  </si>
  <si>
    <t>138</t>
  </si>
  <si>
    <t>OutputDisableRx8</t>
  </si>
  <si>
    <t>Rx output disable</t>
  </si>
  <si>
    <t>OutputDisableRx7</t>
  </si>
  <si>
    <t>OutputDisableRx6</t>
  </si>
  <si>
    <t>OutputDisableRx5</t>
  </si>
  <si>
    <t>OutputDisableRx4</t>
  </si>
  <si>
    <t>OutputDisableRx3</t>
  </si>
  <si>
    <t>OutputDisableRx2</t>
  </si>
  <si>
    <t>OutputDisableRx1</t>
  </si>
  <si>
    <t>139</t>
  </si>
  <si>
    <t>AutoSquelchDisableRx8</t>
  </si>
  <si>
    <t>Disable automatic Rx squelch</t>
  </si>
  <si>
    <t>AutoSquelchDisableRx7</t>
  </si>
  <si>
    <t>AutoSquelchDisableRx6</t>
  </si>
  <si>
    <t>AutoSquelchDisableRx5</t>
  </si>
  <si>
    <t>AutoSquelchDisableRx4</t>
  </si>
  <si>
    <t>AutoSquelchDisableRx3</t>
  </si>
  <si>
    <t>AutoSquelchDisableRx2</t>
  </si>
  <si>
    <t>AutoSquelchDisableRx1</t>
  </si>
  <si>
    <t>140-142</t>
  </si>
  <si>
    <t>Reserved[3]</t>
  </si>
  <si>
    <t>Reserved bytes</t>
  </si>
  <si>
    <t>143</t>
  </si>
  <si>
    <t>SCS0ApplyDPInitLane8</t>
  </si>
  <si>
    <t>WO Rqd.</t>
  </si>
  <si>
    <t>Staged Control Set 0 ApplyDPInit trigger</t>
  </si>
  <si>
    <t>SCS0ApplyDPInitLane7</t>
  </si>
  <si>
    <t>SCS0ApplyDPInitLane6</t>
  </si>
  <si>
    <t>SCS0ApplyDPInitLane5</t>
  </si>
  <si>
    <t>SCS0ApplyDPInitLane4</t>
  </si>
  <si>
    <t>SCS0ApplyDPInitLane3</t>
  </si>
  <si>
    <t>SCS0ApplyDPInitLane2</t>
  </si>
  <si>
    <t>SCS0ApplyDPInitLane1</t>
  </si>
  <si>
    <t>144</t>
  </si>
  <si>
    <t>SCS0ApplyImmediateLane8</t>
  </si>
  <si>
    <t>WO Cnd.</t>
  </si>
  <si>
    <t>Staged Control Set 0 ApplyImmediate trigger</t>
  </si>
  <si>
    <t>SCS0ApplyImmediateLane7</t>
  </si>
  <si>
    <t>SCS0ApplyImmediateLane6</t>
  </si>
  <si>
    <t>SCS0ApplyImmediateLane5</t>
  </si>
  <si>
    <t>SCS0ApplyImmediateLane4</t>
  </si>
  <si>
    <t>SCS0ApplyImmediateLane3</t>
  </si>
  <si>
    <t>SCS0ApplyImmediateLane2</t>
  </si>
  <si>
    <t>SCS0ApplyImmediateLane1</t>
  </si>
  <si>
    <t>145</t>
  </si>
  <si>
    <t>SCS0AppSelCodeLane1</t>
  </si>
  <si>
    <t>Application select code</t>
  </si>
  <si>
    <t>SCS0DataPathIDLane1</t>
  </si>
  <si>
    <t>Data Path ID</t>
  </si>
  <si>
    <t>SCS0ExplicitControlLane1</t>
  </si>
  <si>
    <t>Explicit signal-integrity control</t>
  </si>
  <si>
    <t>146</t>
  </si>
  <si>
    <t>SCS0AppSelCodeLane2</t>
  </si>
  <si>
    <t>SCS0DataPathIDLane2</t>
  </si>
  <si>
    <t>SCS0ExplicitControlLane2</t>
  </si>
  <si>
    <t>147</t>
  </si>
  <si>
    <t>SCS0AppSelCodeLane3</t>
  </si>
  <si>
    <t>SCS0DataPathIDLane3</t>
  </si>
  <si>
    <t>SCS0ExplicitControlLane3</t>
  </si>
  <si>
    <t>148</t>
  </si>
  <si>
    <t>SCS0AppSelCodeLane4</t>
  </si>
  <si>
    <t>SCS0DataPathIDLane4</t>
  </si>
  <si>
    <t>SCS0ExplicitControlLane4</t>
  </si>
  <si>
    <t>149</t>
  </si>
  <si>
    <t>SCS0AppSelCodeLane5</t>
  </si>
  <si>
    <t>SCS0DataPathIDLane5</t>
  </si>
  <si>
    <t>SCS0ExplicitControlLane5</t>
  </si>
  <si>
    <t>150</t>
  </si>
  <si>
    <t>SCS0AppSelCodeLane6</t>
  </si>
  <si>
    <t>SCS0DataPathIDLane6</t>
  </si>
  <si>
    <t>SCS0ExplicitControlLane6</t>
  </si>
  <si>
    <t>151</t>
  </si>
  <si>
    <t>SCS0AppSelCodeLane7</t>
  </si>
  <si>
    <t>SCS0DataPathIDLane7</t>
  </si>
  <si>
    <t>SCS0ExplicitControlLane7</t>
  </si>
  <si>
    <t>152</t>
  </si>
  <si>
    <t>SCS0AppSelCodeLane8</t>
  </si>
  <si>
    <t>SCS0DataPathIDLane8</t>
  </si>
  <si>
    <t>SCS0ExplicitControlLane8</t>
  </si>
  <si>
    <t>153</t>
  </si>
  <si>
    <t>SCS0AdaptiveInputEqEnableTx8</t>
  </si>
  <si>
    <t>SCS0 adaptive Tx input equalizer enable</t>
  </si>
  <si>
    <t>SCS0AdaptiveInputEqEnableTx7</t>
  </si>
  <si>
    <t>SCS0AdaptiveInputEqEnableTx6</t>
  </si>
  <si>
    <t>SCS0AdaptiveInputEqEnableTx5</t>
  </si>
  <si>
    <t>SCS0AdaptiveInputEqEnableTx4</t>
  </si>
  <si>
    <t>SCS0AdaptiveInputEqEnableTx3</t>
  </si>
  <si>
    <t>SCS0AdaptiveInputEqEnableTx2</t>
  </si>
  <si>
    <t>SCS0AdaptiveInputEqEnableTx1</t>
  </si>
  <si>
    <t>154</t>
  </si>
  <si>
    <t>SCS0AdaptiveInputEqRecallTx4</t>
  </si>
  <si>
    <t>SCS0 recall Tx input equalizer adaptation</t>
  </si>
  <si>
    <t>SCS0AdaptiveInputEqRecallTx3</t>
  </si>
  <si>
    <t>SCS0AdaptiveInputEqRecallTx2</t>
  </si>
  <si>
    <t>SCS0AdaptiveInputEqRecallTx1</t>
  </si>
  <si>
    <t>155</t>
  </si>
  <si>
    <t>SCS0AdaptiveInputEqRecallTx8</t>
  </si>
  <si>
    <t>SCS0AdaptiveInputEqRecallTx7</t>
  </si>
  <si>
    <t>SCS0AdaptiveInputEqRecallTx6</t>
  </si>
  <si>
    <t>SCS0AdaptiveInputEqRecallTx5</t>
  </si>
  <si>
    <t>156</t>
  </si>
  <si>
    <t>SCS0FixedInputEqTargetTx2</t>
  </si>
  <si>
    <t>SCS0 fixed Tx input equalizer target</t>
  </si>
  <si>
    <t>SCS0FixedInputEqTargetTx1</t>
  </si>
  <si>
    <t>157</t>
  </si>
  <si>
    <t>SCS0FixedInputEqTargetTx4</t>
  </si>
  <si>
    <t>SCS0FixedInputEqTargetTx3</t>
  </si>
  <si>
    <t>158</t>
  </si>
  <si>
    <t>SCS0FixedInputEqTargetTx6</t>
  </si>
  <si>
    <t>SCS0FixedInputEqTargetTx5</t>
  </si>
  <si>
    <t>159</t>
  </si>
  <si>
    <t>SCS0FixedInputEqTargetTx8</t>
  </si>
  <si>
    <t>SCS0FixedInputEqTargetTx7</t>
  </si>
  <si>
    <t>160</t>
  </si>
  <si>
    <t>SCS0CDREnableTx8</t>
  </si>
  <si>
    <t>SCS0 Tx CDR enable</t>
  </si>
  <si>
    <t>SCS0CDREnableTx7</t>
  </si>
  <si>
    <t>SCS0CDREnableTx6</t>
  </si>
  <si>
    <t>SCS0CDREnableTx5</t>
  </si>
  <si>
    <t>SCS0CDREnableTx4</t>
  </si>
  <si>
    <t>SCS0CDREnableTx3</t>
  </si>
  <si>
    <t>SCS0CDREnableTx2</t>
  </si>
  <si>
    <t>SCS0CDREnableTx1</t>
  </si>
  <si>
    <t>161</t>
  </si>
  <si>
    <t>SCS0CDREnableRx8</t>
  </si>
  <si>
    <t>SCS0 Rx CDR enable</t>
  </si>
  <si>
    <t>SCS0CDREnableRx7</t>
  </si>
  <si>
    <t>SCS0CDREnableRx6</t>
  </si>
  <si>
    <t>SCS0CDREnableRx5</t>
  </si>
  <si>
    <t>SCS0CDREnableRx4</t>
  </si>
  <si>
    <t>SCS0CDREnableRx3</t>
  </si>
  <si>
    <t>SCS0CDREnableRx2</t>
  </si>
  <si>
    <t>SCS0CDREnableRx1</t>
  </si>
  <si>
    <t>162</t>
  </si>
  <si>
    <t>SCS0OutputEqPreCursorTargetRx2</t>
  </si>
  <si>
    <t>SCS0 Rx output pre-cursor target</t>
  </si>
  <si>
    <t>SCS0OutputEqPreCursorTargetRx1</t>
  </si>
  <si>
    <t>163</t>
  </si>
  <si>
    <t>SCS0OutputEqPreCursorTargetRx4</t>
  </si>
  <si>
    <t>SCS0OutputEqPreCursorTargetRx3</t>
  </si>
  <si>
    <t>164</t>
  </si>
  <si>
    <t>SCS0OutputEqPreCursorTargetRx6</t>
  </si>
  <si>
    <t>SCS0OutputEqPreCursorTargetRx5</t>
  </si>
  <si>
    <t>165</t>
  </si>
  <si>
    <t>SCS0OutputEqPreCursorTargetRx8</t>
  </si>
  <si>
    <t>SCS0OutputEqPreCursorTargetRx7</t>
  </si>
  <si>
    <t>166</t>
  </si>
  <si>
    <t>SCS0OutputEqPostCursorTargetRx2</t>
  </si>
  <si>
    <t>SCS0 Rx output post-cursor target</t>
  </si>
  <si>
    <t>SCS0OutputEqPostCursorTargetRx1</t>
  </si>
  <si>
    <t>167</t>
  </si>
  <si>
    <t>SCS0OutputEqPostCursorTargetRx4</t>
  </si>
  <si>
    <t>SCS0OutputEqPostCursorTargetRx3</t>
  </si>
  <si>
    <t>168</t>
  </si>
  <si>
    <t>SCS0OutputEqPostCursorTargetRx6</t>
  </si>
  <si>
    <t>SCS0OutputEqPostCursorTargetRx5</t>
  </si>
  <si>
    <t>169</t>
  </si>
  <si>
    <t>SCS0OutputEqPostCursorTargetRx8</t>
  </si>
  <si>
    <t>SCS0OutputEqPostCursorTargetRx7</t>
  </si>
  <si>
    <t>170</t>
  </si>
  <si>
    <t>SCS0OutputAmplitudeTargetRx2</t>
  </si>
  <si>
    <t>SCS0 Rx output amplitude target</t>
  </si>
  <si>
    <t>SCS0OutputAmplitudeTargetRx1</t>
  </si>
  <si>
    <t>171</t>
  </si>
  <si>
    <t>SCS0OutputAmplitudeTargetRx4</t>
  </si>
  <si>
    <t>SCS0OutputAmplitudeTargetRx3</t>
  </si>
  <si>
    <t>172</t>
  </si>
  <si>
    <t>SCS0OutputAmplitudeTargetRx6</t>
  </si>
  <si>
    <t>SCS0OutputAmplitudeTargetRx5</t>
  </si>
  <si>
    <t>173</t>
  </si>
  <si>
    <t>SCS0OutputAmplitudeTargetRx8</t>
  </si>
  <si>
    <t>SCS0OutputAmplitudeTargetRx7</t>
  </si>
  <si>
    <t>174-177</t>
  </si>
  <si>
    <t>178</t>
  </si>
  <si>
    <t>SCS1ApplyDPInitLane8</t>
  </si>
  <si>
    <t>Staged Control Set 1 ApplyDPInit trigger</t>
  </si>
  <si>
    <t>SCS1ApplyDPInitLane7</t>
  </si>
  <si>
    <t>SCS1ApplyDPInitLane6</t>
  </si>
  <si>
    <t>SCS1ApplyDPInitLane5</t>
  </si>
  <si>
    <t>SCS1ApplyDPInitLane4</t>
  </si>
  <si>
    <t>SCS1ApplyDPInitLane3</t>
  </si>
  <si>
    <t>SCS1ApplyDPInitLane2</t>
  </si>
  <si>
    <t>SCS1ApplyDPInitLane1</t>
  </si>
  <si>
    <t>179</t>
  </si>
  <si>
    <t>SCS1ApplyImmediateLane8</t>
  </si>
  <si>
    <t>Staged Control Set 1 ApplyImmediate trigger</t>
  </si>
  <si>
    <t>SCS1ApplyImmediateLane7</t>
  </si>
  <si>
    <t>SCS1ApplyImmediateLane6</t>
  </si>
  <si>
    <t>SCS1ApplyImmediateLane5</t>
  </si>
  <si>
    <t>SCS1ApplyImmediateLane4</t>
  </si>
  <si>
    <t>SCS1ApplyImmediateLane3</t>
  </si>
  <si>
    <t>SCS1ApplyImmediateLane2</t>
  </si>
  <si>
    <t>SCS1ApplyImmediateLane1</t>
  </si>
  <si>
    <t>180</t>
  </si>
  <si>
    <t>SCS1AppSelCodeLane1</t>
  </si>
  <si>
    <t>0010b</t>
  </si>
  <si>
    <t>SCS1DataPathIDLane1</t>
  </si>
  <si>
    <t>SCS1ExplicitControlLane1</t>
  </si>
  <si>
    <t>181</t>
  </si>
  <si>
    <t>SCS1AppSelCodeLane2</t>
  </si>
  <si>
    <t>SCS1DataPathIDLane2</t>
  </si>
  <si>
    <t>SCS1ExplicitControlLane2</t>
  </si>
  <si>
    <t>182</t>
  </si>
  <si>
    <t>SCS1AppSelCodeLane3</t>
  </si>
  <si>
    <t>SCS1DataPathIDLane3</t>
  </si>
  <si>
    <t>SCS1ExplicitControlLane3</t>
  </si>
  <si>
    <t>183</t>
  </si>
  <si>
    <t>SCS1AppSelCodeLane4</t>
  </si>
  <si>
    <t>SCS1DataPathIDLane4</t>
  </si>
  <si>
    <t>SCS1ExplicitControlLane4</t>
  </si>
  <si>
    <t>184</t>
  </si>
  <si>
    <t>SCS1AppSelCodeLane5</t>
  </si>
  <si>
    <t>SCS1DataPathIDLane5</t>
  </si>
  <si>
    <t>100b</t>
  </si>
  <si>
    <t>SCS1ExplicitControlLane5</t>
  </si>
  <si>
    <t>185</t>
  </si>
  <si>
    <t>SCS1AppSelCodeLane6</t>
  </si>
  <si>
    <t>SCS1DataPathIDLane6</t>
  </si>
  <si>
    <t>SCS1ExplicitControlLane6</t>
  </si>
  <si>
    <t>186</t>
  </si>
  <si>
    <t>SCS1AppSelCodeLane7</t>
  </si>
  <si>
    <t>SCS1DataPathIDLane7</t>
  </si>
  <si>
    <t>SCS1ExplicitControlLane7</t>
  </si>
  <si>
    <t>187</t>
  </si>
  <si>
    <t>SCS1AppSelCodeLane8</t>
  </si>
  <si>
    <t>SCS1DataPathIDLane8</t>
  </si>
  <si>
    <t>SCS1ExplicitControlLane8</t>
  </si>
  <si>
    <t>188</t>
  </si>
  <si>
    <t>SCS1AdaptiveInputEqEnableTx8</t>
  </si>
  <si>
    <t>SCS1 adaptive Tx input equalizer enable</t>
  </si>
  <si>
    <t>SCS1AdaptiveInputEqEnableTx7</t>
  </si>
  <si>
    <t>SCS1AdaptiveInputEqEnableTx6</t>
  </si>
  <si>
    <t>SCS1AdaptiveInputEqEnableTx5</t>
  </si>
  <si>
    <t>SCS1AdaptiveInputEqEnableTx4</t>
  </si>
  <si>
    <t>SCS1AdaptiveInputEqEnableTx3</t>
  </si>
  <si>
    <t>SCS1AdaptiveInputEqEnableTx2</t>
  </si>
  <si>
    <t>SCS1AdaptiveInputEqEnableTx1</t>
  </si>
  <si>
    <t>189</t>
  </si>
  <si>
    <t>SCS1AdaptiveInputEqRecallTx4</t>
  </si>
  <si>
    <t>SCS1 recall Tx input equalizer adaptation</t>
  </si>
  <si>
    <t>SCS1AdaptiveInputEqRecallTx3</t>
  </si>
  <si>
    <t>SCS1AdaptiveInputEqRecallTx2</t>
  </si>
  <si>
    <t>SCS1AdaptiveInputEqRecallTx1</t>
  </si>
  <si>
    <t>190</t>
  </si>
  <si>
    <t>SCS1AdaptiveInputEqRecallTx8</t>
  </si>
  <si>
    <t>SCS1AdaptiveInputEqRecallTx7</t>
  </si>
  <si>
    <t>SCS1AdaptiveInputEqRecallTx6</t>
  </si>
  <si>
    <t>SCS1AdaptiveInputEqRecallTx5</t>
  </si>
  <si>
    <t>191</t>
  </si>
  <si>
    <t>SCS1FixedInputEqTargetTx2</t>
  </si>
  <si>
    <t>SCS1 fixed Tx input equalizer target</t>
  </si>
  <si>
    <t>SCS1FixedInputEqTargetTx1</t>
  </si>
  <si>
    <t>192</t>
  </si>
  <si>
    <t>SCS1FixedInputEqTargetTx4</t>
  </si>
  <si>
    <t>SCS1FixedInputEqTargetTx3</t>
  </si>
  <si>
    <t>193</t>
  </si>
  <si>
    <t>SCS1FixedInputEqTargetTx6</t>
  </si>
  <si>
    <t>SCS1FixedInputEqTargetTx5</t>
  </si>
  <si>
    <t>194</t>
  </si>
  <si>
    <t>SCS1FixedInputEqTargetTx8</t>
  </si>
  <si>
    <t>SCS1FixedInputEqTargetTx7</t>
  </si>
  <si>
    <t>195</t>
  </si>
  <si>
    <t>SCS1CDREnableTx8</t>
  </si>
  <si>
    <t>SCS1 Tx CDR enable</t>
  </si>
  <si>
    <t>SCS1CDREnableTx7</t>
  </si>
  <si>
    <t>SCS1CDREnableTx6</t>
  </si>
  <si>
    <t>SCS1CDREnableTx5</t>
  </si>
  <si>
    <t>SCS1CDREnableTx4</t>
  </si>
  <si>
    <t>SCS1CDREnableTx3</t>
  </si>
  <si>
    <t>SCS1CDREnableTx2</t>
  </si>
  <si>
    <t>SCS1CDREnableTx1</t>
  </si>
  <si>
    <t>196</t>
  </si>
  <si>
    <t>SCS1CDREnableRx8</t>
  </si>
  <si>
    <t>SCS1 Rx CDR enable</t>
  </si>
  <si>
    <t>SCS1CDREnableRx7</t>
  </si>
  <si>
    <t>SCS1CDREnableRx6</t>
  </si>
  <si>
    <t>SCS1CDREnableRx5</t>
  </si>
  <si>
    <t>SCS1CDREnableRx4</t>
  </si>
  <si>
    <t>SCS1CDREnableRx3</t>
  </si>
  <si>
    <t>SCS1CDREnableRx2</t>
  </si>
  <si>
    <t>SCS1CDREnableRx1</t>
  </si>
  <si>
    <t>197</t>
  </si>
  <si>
    <t>SCS1OutputEqPreCursorTargetRx2</t>
  </si>
  <si>
    <t>SCS1 Rx output pre-cursor target</t>
  </si>
  <si>
    <t>SCS1OutputEqPreCursorTargetRx1</t>
  </si>
  <si>
    <t>198</t>
  </si>
  <si>
    <t>SCS1OutputEqPreCursorTargetRx4</t>
  </si>
  <si>
    <t>SCS1OutputEqPreCursorTargetRx3</t>
  </si>
  <si>
    <t>199</t>
  </si>
  <si>
    <t>SCS1OutputEqPreCursorTargetRx6</t>
  </si>
  <si>
    <t>SCS1OutputEqPreCursorTargetRx5</t>
  </si>
  <si>
    <t>200</t>
  </si>
  <si>
    <t>SCS1OutputEqPreCursorTargetRx8</t>
  </si>
  <si>
    <t>SCS1OutputEqPreCursorTargetRx7</t>
  </si>
  <si>
    <t>201</t>
  </si>
  <si>
    <t>SCS1OutputEqPostCursorTargetRx2</t>
  </si>
  <si>
    <t>SCS1 Rx output post-cursor target</t>
  </si>
  <si>
    <t>SCS1OutputEqPostCursorTargetRx1</t>
  </si>
  <si>
    <t>202</t>
  </si>
  <si>
    <t>SCS1OutputEqPostCursorTargetRx4</t>
  </si>
  <si>
    <t>SCS1OutputEqPostCursorTargetRx3</t>
  </si>
  <si>
    <t>203</t>
  </si>
  <si>
    <t>SCS1OutputEqPostCursorTargetRx6</t>
  </si>
  <si>
    <t>SCS1OutputEqPostCursorTargetRx5</t>
  </si>
  <si>
    <t>204</t>
  </si>
  <si>
    <t>SCS1OutputEqPostCursorTargetRx8</t>
  </si>
  <si>
    <t>SCS1OutputEqPostCursorTargetRx7</t>
  </si>
  <si>
    <t>205</t>
  </si>
  <si>
    <t>SCS1OutputAmplitudeTargetRx2</t>
  </si>
  <si>
    <t>SCS1 Rx output amplitude target</t>
  </si>
  <si>
    <t>SCS1OutputAmplitudeTargetRx1</t>
  </si>
  <si>
    <t>206</t>
  </si>
  <si>
    <t>SCS1OutputAmplitudeTargetRx4</t>
  </si>
  <si>
    <t>SCS1OutputAmplitudeTargetRx3</t>
  </si>
  <si>
    <t>207</t>
  </si>
  <si>
    <t>SCS1OutputAmplitudeTargetRx6</t>
  </si>
  <si>
    <t>SCS1OutputAmplitudeTargetRx5</t>
  </si>
  <si>
    <t>208</t>
  </si>
  <si>
    <t>SCS1OutputAmplitudeTargetRx8</t>
  </si>
  <si>
    <t>SCS1OutputAmplitudeTargetRx7</t>
  </si>
  <si>
    <t>209-212</t>
  </si>
  <si>
    <t>213</t>
  </si>
  <si>
    <t>DPStateChangedMask8</t>
  </si>
  <si>
    <t>Mask bits for DPStateChangedFlag</t>
  </si>
  <si>
    <t>DPStateChangedMask7</t>
  </si>
  <si>
    <t>DPStateChangedMask6</t>
  </si>
  <si>
    <t>DPStateChangedMask5</t>
  </si>
  <si>
    <t>DPStateChangedMask4</t>
  </si>
  <si>
    <t>DPStateChangedMask3</t>
  </si>
  <si>
    <t>DPStateChangedMask2</t>
  </si>
  <si>
    <t>DPStateChangedMask1</t>
  </si>
  <si>
    <t>214</t>
  </si>
  <si>
    <t>FailureMaskTx8</t>
  </si>
  <si>
    <t>Mask bits for FailureFlagTx</t>
  </si>
  <si>
    <t>FailureMaskTx7</t>
  </si>
  <si>
    <t>FailureMaskTx6</t>
  </si>
  <si>
    <t>FailureMaskTx5</t>
  </si>
  <si>
    <t>FailureMaskTx4</t>
  </si>
  <si>
    <t>FailureMaskTx3</t>
  </si>
  <si>
    <t>FailureMaskTx2</t>
  </si>
  <si>
    <t>FailureMaskTx1</t>
  </si>
  <si>
    <t>215</t>
  </si>
  <si>
    <t>LOSMaskTx8</t>
  </si>
  <si>
    <t>Mask bits for LOSFlagTx</t>
  </si>
  <si>
    <t>LOSMaskTx7</t>
  </si>
  <si>
    <t>LOSMaskTx6</t>
  </si>
  <si>
    <t>LOSMaskTx5</t>
  </si>
  <si>
    <t>LOSMaskTx4</t>
  </si>
  <si>
    <t>LOSMaskTx3</t>
  </si>
  <si>
    <t>LOSMaskTx2</t>
  </si>
  <si>
    <t>LOSMaskTx1</t>
  </si>
  <si>
    <t>216</t>
  </si>
  <si>
    <t>CDRLOLMaskTx8</t>
  </si>
  <si>
    <t>Mask bits for CDRLOLFlagTx</t>
  </si>
  <si>
    <t>CDRLOLMaskTx7</t>
  </si>
  <si>
    <t>CDRLOLMaskTx6</t>
  </si>
  <si>
    <t>CDRLOLMaskTx5</t>
  </si>
  <si>
    <t>CDRLOLMaskTx4</t>
  </si>
  <si>
    <t>CDRLOLMaskTx3</t>
  </si>
  <si>
    <t>CDRLOLMaskTx2</t>
  </si>
  <si>
    <t>CDRLOLMaskTx1</t>
  </si>
  <si>
    <t>217</t>
  </si>
  <si>
    <t>AdaptiveInputEqFailMaskTx8</t>
  </si>
  <si>
    <t>Mask bits for AdaptiveInputEqFailFlagTx</t>
  </si>
  <si>
    <t>AdaptiveInputEqFailMaskTx7</t>
  </si>
  <si>
    <t>AdaptiveInputEqFailMaskTx6</t>
  </si>
  <si>
    <t>AdaptiveInputEqFailMaskTx5</t>
  </si>
  <si>
    <t>AdaptiveInputEqFailMaskTx4</t>
  </si>
  <si>
    <t>AdaptiveInputEqFailMaskTx3</t>
  </si>
  <si>
    <t>AdaptiveInputEqFailMaskTx2</t>
  </si>
  <si>
    <t>AdaptiveInputEqFailMaskTx1</t>
  </si>
  <si>
    <t>218</t>
  </si>
  <si>
    <t>OpticalPowerHighAlarmMaskTx8</t>
  </si>
  <si>
    <t>Mask bits for OpticalPowerHighAlarmFlagTx</t>
  </si>
  <si>
    <t>OpticalPowerHighAlarmMaskTx7</t>
  </si>
  <si>
    <t>OpticalPowerHighAlarmMaskTx6</t>
  </si>
  <si>
    <t>OpticalPowerHighAlarmMaskTx5</t>
  </si>
  <si>
    <t>OpticalPowerHighAlarmMaskTx4</t>
  </si>
  <si>
    <t>OpticalPowerHighAlarmMaskTx3</t>
  </si>
  <si>
    <t>OpticalPowerHighAlarmMaskTx2</t>
  </si>
  <si>
    <t>OpticalPowerHighAlarmMaskTx1</t>
  </si>
  <si>
    <t>219</t>
  </si>
  <si>
    <t>OpticalPowerLowAlarmMaskTx8</t>
  </si>
  <si>
    <t>Mask bits for OpticalPowerLowAlarmFlagTx</t>
  </si>
  <si>
    <t>OpticalPowerLowAlarmMaskTx7</t>
  </si>
  <si>
    <t>OpticalPowerLowAlarmMaskTx6</t>
  </si>
  <si>
    <t>OpticalPowerLowAlarmMaskTx5</t>
  </si>
  <si>
    <t>OpticalPowerLowAlarmMaskTx4</t>
  </si>
  <si>
    <t>OpticalPowerLowAlarmMaskTx3</t>
  </si>
  <si>
    <t>OpticalPowerLowAlarmMaskTx2</t>
  </si>
  <si>
    <t>OpticalPowerLowAlarmMaskTx1</t>
  </si>
  <si>
    <t>220</t>
  </si>
  <si>
    <t>OpticalPowerHighWarningMaskTx8</t>
  </si>
  <si>
    <t>Mask bits for OpticalPowerHighWarningFlagTx</t>
  </si>
  <si>
    <t>OpticalPowerHighWarningMaskTx7</t>
  </si>
  <si>
    <t>OpticalPowerHighWarningMaskTx6</t>
  </si>
  <si>
    <t>OpticalPowerHighWarningMaskTx5</t>
  </si>
  <si>
    <t>OpticalPowerHighWarningMaskTx4</t>
  </si>
  <si>
    <t>OpticalPowerHighWarningMaskTx3</t>
  </si>
  <si>
    <t>OpticalPowerHighWarningMaskTx2</t>
  </si>
  <si>
    <t>OpticalPowerHighWarningMaskTx1</t>
  </si>
  <si>
    <t>221</t>
  </si>
  <si>
    <t>OpticalPowerLowWarningMaskTx8</t>
  </si>
  <si>
    <t>Mask bits for OpticalPowerLowWarningFlagTx</t>
  </si>
  <si>
    <t>OpticalPowerLowWarningMaskTx7</t>
  </si>
  <si>
    <t>OpticalPowerLowWarningMaskTx6</t>
  </si>
  <si>
    <t>OpticalPowerLowWarningMaskTx5</t>
  </si>
  <si>
    <t>OpticalPowerLowWarningMaskTx4</t>
  </si>
  <si>
    <t>OpticalPowerLowWarningMaskTx3</t>
  </si>
  <si>
    <t>OpticalPowerLowWarningMaskTx2</t>
  </si>
  <si>
    <t>OpticalPowerLowWarningMaskTx1</t>
  </si>
  <si>
    <t>222</t>
  </si>
  <si>
    <t>LaserBiasHighAlarmMaskTx8</t>
  </si>
  <si>
    <t>Mask bits for LaserBiasHighAlarmFlagTx</t>
  </si>
  <si>
    <t>LaserBiasHighAlarmMaskTx7</t>
  </si>
  <si>
    <t>LaserBiasHighAlarmMaskTx6</t>
  </si>
  <si>
    <t>LaserBiasHighAlarmMaskTx5</t>
  </si>
  <si>
    <t>LaserBiasHighAlarmMaskTx4</t>
  </si>
  <si>
    <t>LaserBiasHighAlarmMaskTx3</t>
  </si>
  <si>
    <t>LaserBiasHighAlarmMaskTx2</t>
  </si>
  <si>
    <t>LaserBiasHighAlarmMaskTx1</t>
  </si>
  <si>
    <t>223</t>
  </si>
  <si>
    <t>LaserBiasLowAlarmMaskTx8</t>
  </si>
  <si>
    <t>Mask bits for LaserBiasLowAlarmFlagTx</t>
  </si>
  <si>
    <t>LaserBiasLowAlarmMaskTx7</t>
  </si>
  <si>
    <t>LaserBiasLowAlarmMaskTx6</t>
  </si>
  <si>
    <t>LaserBiasLowAlarmMaskTx5</t>
  </si>
  <si>
    <t>LaserBiasLowAlarmMaskTx4</t>
  </si>
  <si>
    <t>LaserBiasLowAlarmMaskTx3</t>
  </si>
  <si>
    <t>LaserBiasLowAlarmMaskTx2</t>
  </si>
  <si>
    <t>LaserBiasLowAlarmMaskTx1</t>
  </si>
  <si>
    <t>224</t>
  </si>
  <si>
    <t>LaserBiasHighWarningMaskTx8</t>
  </si>
  <si>
    <t>Mask bits for LaserBiasHighWarningFlagTx</t>
  </si>
  <si>
    <t>LaserBiasHighWarningMaskTx7</t>
  </si>
  <si>
    <t>LaserBiasHighWarningMaskTx6</t>
  </si>
  <si>
    <t>LaserBiasHighWarningMaskTx5</t>
  </si>
  <si>
    <t>LaserBiasHighWarningMaskTx4</t>
  </si>
  <si>
    <t>LaserBiasHighWarningMaskTx3</t>
  </si>
  <si>
    <t>LaserBiasHighWarningMaskTx2</t>
  </si>
  <si>
    <t>LaserBiasHighWarningMaskTx1</t>
  </si>
  <si>
    <t>225</t>
  </si>
  <si>
    <t>LaserBiasLowWarningMaskTx8</t>
  </si>
  <si>
    <t>Mask bits for LaserBiasLowWarningFlagTx</t>
  </si>
  <si>
    <t>LaserBiasLowWarningMaskTx7</t>
  </si>
  <si>
    <t>LaserBiasLowWarningMaskTx6</t>
  </si>
  <si>
    <t>LaserBiasLowWarningMaskTx5</t>
  </si>
  <si>
    <t>LaserBiasLowWarningMaskTx4</t>
  </si>
  <si>
    <t>LaserBiasLowWarningMaskTx3</t>
  </si>
  <si>
    <t>LaserBiasLowWarningMaskTx2</t>
  </si>
  <si>
    <t>LaserBiasLowWarningMaskTx1</t>
  </si>
  <si>
    <t>226</t>
  </si>
  <si>
    <t>LOSMaskRx8</t>
  </si>
  <si>
    <t>Mask bits for LOSFlagRx</t>
  </si>
  <si>
    <t>LOSMaskRx7</t>
  </si>
  <si>
    <t>LOSMaskRx6</t>
  </si>
  <si>
    <t>LOSMaskRx5</t>
  </si>
  <si>
    <t>LOSMaskRx4</t>
  </si>
  <si>
    <t>LOSMaskRx3</t>
  </si>
  <si>
    <t>LOSMaskRx2</t>
  </si>
  <si>
    <t>LOSMaskRx1</t>
  </si>
  <si>
    <t>227</t>
  </si>
  <si>
    <t>CDRLOLMaskRx8</t>
  </si>
  <si>
    <t>Mask bits for CDRLOLFlagRx</t>
  </si>
  <si>
    <t>CDRLOLMaskRx7</t>
  </si>
  <si>
    <t>CDRLOLMaskRx6</t>
  </si>
  <si>
    <t>CDRLOLMaskRx5</t>
  </si>
  <si>
    <t>CDRLOLMaskRx4</t>
  </si>
  <si>
    <t>CDRLOLMaskRx3</t>
  </si>
  <si>
    <t>CDRLOLMaskRx2</t>
  </si>
  <si>
    <t>CDRLOLMaskRx1</t>
  </si>
  <si>
    <t>228</t>
  </si>
  <si>
    <t>OpticalPowerHighAlarmMaskRx8</t>
  </si>
  <si>
    <t>Mask bits for OpticalPowerHighAlarmFlagRx</t>
  </si>
  <si>
    <t>OpticalPowerHighAlarmMaskRx7</t>
  </si>
  <si>
    <t>OpticalPowerHighAlarmMaskRx6</t>
  </si>
  <si>
    <t>OpticalPowerHighAlarmMaskRx5</t>
  </si>
  <si>
    <t>OpticalPowerHighAlarmMaskRx4</t>
  </si>
  <si>
    <t>OpticalPowerHighAlarmMaskRx3</t>
  </si>
  <si>
    <t>OpticalPowerHighAlarmMaskRx2</t>
  </si>
  <si>
    <t>OpticalPowerHighAlarmMaskRx1</t>
  </si>
  <si>
    <t>229</t>
  </si>
  <si>
    <t>OpticalPowerLowAlarmMaskRx8</t>
  </si>
  <si>
    <t>Mask bits for OpticalPowerLowAlarmFlagRx</t>
  </si>
  <si>
    <t>OpticalPowerLowAlarmMaskRx7</t>
  </si>
  <si>
    <t>OpticalPowerLowAlarmMaskRx6</t>
  </si>
  <si>
    <t>OpticalPowerLowAlarmMaskRx5</t>
  </si>
  <si>
    <t>OpticalPowerLowAlarmMaskRx4</t>
  </si>
  <si>
    <t>OpticalPowerLowAlarmMaskRx3</t>
  </si>
  <si>
    <t>OpticalPowerLowAlarmMaskRx2</t>
  </si>
  <si>
    <t>OpticalPowerLowAlarmMaskRx1</t>
  </si>
  <si>
    <t>230</t>
  </si>
  <si>
    <t>OpticalPowerHighWarningMaskRx8</t>
  </si>
  <si>
    <t>Mask bits for OpticalPowerHighWarningFlagRx</t>
  </si>
  <si>
    <t>OpticalPowerHighWarningMaskRx7</t>
  </si>
  <si>
    <t>OpticalPowerHighWarningMaskRx6</t>
  </si>
  <si>
    <t>OpticalPowerHighWarningMaskRx5</t>
  </si>
  <si>
    <t>OpticalPowerHighWarningMaskRx4</t>
  </si>
  <si>
    <t>OpticalPowerHighWarningMaskRx3</t>
  </si>
  <si>
    <t>OpticalPowerHighWarningMaskRx2</t>
  </si>
  <si>
    <t>OpticalPowerHighWarningMaskRx1</t>
  </si>
  <si>
    <t>231</t>
  </si>
  <si>
    <t>OpticalPowerLowWarningMaskRx8</t>
  </si>
  <si>
    <t>Mask bits for OpticalPowerLowWarningFlagRx</t>
  </si>
  <si>
    <t>OpticalPowerLowWarningMaskRx7</t>
  </si>
  <si>
    <t>OpticalPowerLowWarningMaskRx6</t>
  </si>
  <si>
    <t>OpticalPowerLowWarningMaskRx5</t>
  </si>
  <si>
    <t>OpticalPowerLowWarningMaskRx4</t>
  </si>
  <si>
    <t>OpticalPowerLowWarningMaskRx3</t>
  </si>
  <si>
    <t>OpticalPowerLowWarningMaskRx2</t>
  </si>
  <si>
    <t>OpticalPowerLowWarningMaskRx1</t>
  </si>
  <si>
    <t>232</t>
  </si>
  <si>
    <t>OutputStatusChangedMaskRx8</t>
  </si>
  <si>
    <t>Mask bits for OutputStatusChangedFlagRx</t>
  </si>
  <si>
    <t>OutputStatusChangedMaskRx7</t>
  </si>
  <si>
    <t>OutputStatusChangedMaskRx6</t>
  </si>
  <si>
    <t>OutputStatusChangedMaskRx5</t>
  </si>
  <si>
    <t>OutputStatusChangedMaskRx4</t>
  </si>
  <si>
    <t>OutputStatusChangedMaskRx3</t>
  </si>
  <si>
    <t>OutputStatusChangedMaskRx2</t>
  </si>
  <si>
    <t>OutputStatusChangedMaskRx1</t>
  </si>
  <si>
    <t>233-239</t>
  </si>
  <si>
    <t>240-255</t>
  </si>
  <si>
    <t>Custom[16]</t>
  </si>
  <si>
    <t>00h 00h 00h 00h 00h 00h 00h 00h 00h 00h 00h 00h 00h 00h 00h 00h</t>
  </si>
  <si>
    <t>Custom bytes</t>
  </si>
  <si>
    <t>DPStateHostLane2</t>
  </si>
  <si>
    <t>Data Path state</t>
  </si>
  <si>
    <t>DPStateHostLane1</t>
  </si>
  <si>
    <t>DPStateHostLane4</t>
  </si>
  <si>
    <t>DPStateHostLane3</t>
  </si>
  <si>
    <t>DPStateHostLane6</t>
  </si>
  <si>
    <t>DPStateHostLane5</t>
  </si>
  <si>
    <t>DPStateHostLane8</t>
  </si>
  <si>
    <t>DPStateHostLane7</t>
  </si>
  <si>
    <t>OutputStatusRx8</t>
  </si>
  <si>
    <t>Rx output signal status</t>
  </si>
  <si>
    <t>OutputStatusRx7</t>
  </si>
  <si>
    <t>OutputStatusRx6</t>
  </si>
  <si>
    <t>OutputStatusRx5</t>
  </si>
  <si>
    <t>OutputStatusRx4</t>
  </si>
  <si>
    <t>OutputStatusRx3</t>
  </si>
  <si>
    <t>OutputStatusRx2</t>
  </si>
  <si>
    <t>OutputStatusRx1</t>
  </si>
  <si>
    <t>OutputStatusTx8</t>
  </si>
  <si>
    <t>Tx output signal status</t>
  </si>
  <si>
    <t>OutputStatusTx7</t>
  </si>
  <si>
    <t>OutputStatusTx6</t>
  </si>
  <si>
    <t>OutputStatusTx5</t>
  </si>
  <si>
    <t>OutputStatusTx4</t>
  </si>
  <si>
    <t>OutputStatusTx3</t>
  </si>
  <si>
    <t>OutputStatusTx2</t>
  </si>
  <si>
    <t>OutputStatusTx1</t>
  </si>
  <si>
    <t>DPStateChangedFlag8</t>
  </si>
  <si>
    <t>RO/COR Rqd.</t>
  </si>
  <si>
    <t>Lane-specific DPStateChangedFlag</t>
  </si>
  <si>
    <t>DPStateChangedFlag7</t>
  </si>
  <si>
    <t>DPStateChangedFlag6</t>
  </si>
  <si>
    <t>DPStateChangedFlag5</t>
  </si>
  <si>
    <t>DPStateChangedFlag4</t>
  </si>
  <si>
    <t>DPStateChangedFlag3</t>
  </si>
  <si>
    <t>DPStateChangedFlag2</t>
  </si>
  <si>
    <t>DPStateChangedFlag1</t>
  </si>
  <si>
    <t>FailureFlagTx8</t>
  </si>
  <si>
    <t>RO/COR Adv.</t>
  </si>
  <si>
    <t>Lane-specific FailureFlagTx</t>
  </si>
  <si>
    <t>FailureFlagTx7</t>
  </si>
  <si>
    <t>FailureFlagTx6</t>
  </si>
  <si>
    <t>FailureFlagTx5</t>
  </si>
  <si>
    <t>FailureFlagTx4</t>
  </si>
  <si>
    <t>FailureFlagTx3</t>
  </si>
  <si>
    <t>FailureFlagTx2</t>
  </si>
  <si>
    <t>FailureFlagTx1</t>
  </si>
  <si>
    <t>LOSFlagTx8</t>
  </si>
  <si>
    <t>Lane-specific LOSFlagTx</t>
  </si>
  <si>
    <t>LOSFlagTx7</t>
  </si>
  <si>
    <t>LOSFlagTx6</t>
  </si>
  <si>
    <t>LOSFlagTx5</t>
  </si>
  <si>
    <t>LOSFlagTx4</t>
  </si>
  <si>
    <t>LOSFlagTx3</t>
  </si>
  <si>
    <t>LOSFlagTx2</t>
  </si>
  <si>
    <t>LOSFlagTx1</t>
  </si>
  <si>
    <t>CDRLOLFlagTx8</t>
  </si>
  <si>
    <t>Lane-specific CDRLOLFlagTx</t>
  </si>
  <si>
    <t>CDRLOLFlagTx7</t>
  </si>
  <si>
    <t>CDRLOLFlagTx6</t>
  </si>
  <si>
    <t>CDRLOLFlagTx5</t>
  </si>
  <si>
    <t>CDRLOLFlagTx4</t>
  </si>
  <si>
    <t>CDRLOLFlagTx3</t>
  </si>
  <si>
    <t>CDRLOLFlagTx2</t>
  </si>
  <si>
    <t>CDRLOLFlagTx1</t>
  </si>
  <si>
    <t>AdaptiveInputEqFailFlagTx8</t>
  </si>
  <si>
    <t>Lane-specific AdaptiveInputEqFailFlagTx</t>
  </si>
  <si>
    <t>AdaptiveInputEqFailFlagTx7</t>
  </si>
  <si>
    <t>AdaptiveInputEqFailFlagTx6</t>
  </si>
  <si>
    <t>AdaptiveInputEqFailFlagTx5</t>
  </si>
  <si>
    <t>AdaptiveInputEqFailFlagTx4</t>
  </si>
  <si>
    <t>AdaptiveInputEqFailFlagTx3</t>
  </si>
  <si>
    <t>AdaptiveInputEqFailFlagTx2</t>
  </si>
  <si>
    <t>AdaptiveInputEqFailFlagTx1</t>
  </si>
  <si>
    <t>OpticalPowerHighAlarmFlagTx8</t>
  </si>
  <si>
    <t>Lane-specific OpticalPowerHighAlarmFlagTx</t>
  </si>
  <si>
    <t>OpticalPowerHighAlarmFlagTx7</t>
  </si>
  <si>
    <t>OpticalPowerHighAlarmFlagTx6</t>
  </si>
  <si>
    <t>OpticalPowerHighAlarmFlagTx5</t>
  </si>
  <si>
    <t>OpticalPowerHighAlarmFlagTx4</t>
  </si>
  <si>
    <t>OpticalPowerHighAlarmFlagTx3</t>
  </si>
  <si>
    <t>OpticalPowerHighAlarmFlagTx2</t>
  </si>
  <si>
    <t>OpticalPowerHighAlarmFlagTx1</t>
  </si>
  <si>
    <t>140</t>
  </si>
  <si>
    <t>OpticalPowerLowAlarmFlagTx8</t>
  </si>
  <si>
    <t>Lane-specific OpticalPowerLowAlarmFlagTx</t>
  </si>
  <si>
    <t>OpticalPowerLowAlarmFlagTx7</t>
  </si>
  <si>
    <t>OpticalPowerLowAlarmFlagTx6</t>
  </si>
  <si>
    <t>OpticalPowerLowAlarmFlagTx5</t>
  </si>
  <si>
    <t>OpticalPowerLowAlarmFlagTx4</t>
  </si>
  <si>
    <t>OpticalPowerLowAlarmFlagTx3</t>
  </si>
  <si>
    <t>OpticalPowerLowAlarmFlagTx2</t>
  </si>
  <si>
    <t>OpticalPowerLowAlarmFlagTx1</t>
  </si>
  <si>
    <t>141</t>
  </si>
  <si>
    <t>OpticalPowerHighWarningFlagTx8</t>
  </si>
  <si>
    <t>Lane-specific OpticalPowerHighWarningFlagTx</t>
  </si>
  <si>
    <t>OpticalPowerHighWarningFlagTx7</t>
  </si>
  <si>
    <t>OpticalPowerHighWarningFlagTx6</t>
  </si>
  <si>
    <t>OpticalPowerHighWarningFlagTx5</t>
  </si>
  <si>
    <t>OpticalPowerHighWarningFlagTx4</t>
  </si>
  <si>
    <t>OpticalPowerHighWarningFlagTx3</t>
  </si>
  <si>
    <t>OpticalPowerHighWarningFlagTx2</t>
  </si>
  <si>
    <t>OpticalPowerHighWarningFlagTx1</t>
  </si>
  <si>
    <t>142</t>
  </si>
  <si>
    <t>OpticalPowerLowWarningFlagTx8</t>
  </si>
  <si>
    <t>Lane-specific OpticalPowerLowWarningFlagTx</t>
  </si>
  <si>
    <t>OpticalPowerLowWarningFlagTx7</t>
  </si>
  <si>
    <t>OpticalPowerLowWarningFlagTx6</t>
  </si>
  <si>
    <t>OpticalPowerLowWarningFlagTx5</t>
  </si>
  <si>
    <t>OpticalPowerLowWarningFlagTx4</t>
  </si>
  <si>
    <t>OpticalPowerLowWarningFlagTx3</t>
  </si>
  <si>
    <t>OpticalPowerLowWarningFlagTx2</t>
  </si>
  <si>
    <t>OpticalPowerLowWarningFlagTx1</t>
  </si>
  <si>
    <t>LaserBiasHighAlarmFlagTx8</t>
  </si>
  <si>
    <t>Lane-specific LaserBiasHighAlarmFlagTx</t>
  </si>
  <si>
    <t>LaserBiasHighAlarmFlagTx7</t>
  </si>
  <si>
    <t>LaserBiasHighAlarmFlagTx6</t>
  </si>
  <si>
    <t>LaserBiasHighAlarmFlagTx5</t>
  </si>
  <si>
    <t>LaserBiasHighAlarmFlagTx4</t>
  </si>
  <si>
    <t>LaserBiasHighAlarmFlagTx3</t>
  </si>
  <si>
    <t>LaserBiasHighAlarmFlagTx2</t>
  </si>
  <si>
    <t>LaserBiasHighAlarmFlagTx1</t>
  </si>
  <si>
    <t>LaserBiasLowAlarmFlagTx8</t>
  </si>
  <si>
    <t>Lane-specific LaserBiasLowAlarmFlagTx</t>
  </si>
  <si>
    <t>LaserBiasLowAlarmFlagTx7</t>
  </si>
  <si>
    <t>LaserBiasLowAlarmFlagTx6</t>
  </si>
  <si>
    <t>LaserBiasLowAlarmFlagTx5</t>
  </si>
  <si>
    <t>LaserBiasLowAlarmFlagTx4</t>
  </si>
  <si>
    <t>LaserBiasLowAlarmFlagTx3</t>
  </si>
  <si>
    <t>LaserBiasLowAlarmFlagTx2</t>
  </si>
  <si>
    <t>LaserBiasLowAlarmFlagTx1</t>
  </si>
  <si>
    <t>LaserBiasHighWarningFlagTx8</t>
  </si>
  <si>
    <t>Lane-specific LaserBiasHighWarningFlagTx</t>
  </si>
  <si>
    <t>LaserBiasHighWarningFlagTx7</t>
  </si>
  <si>
    <t>LaserBiasHighWarningFlagTx6</t>
  </si>
  <si>
    <t>LaserBiasHighWarningFlagTx5</t>
  </si>
  <si>
    <t>LaserBiasHighWarningFlagTx4</t>
  </si>
  <si>
    <t>LaserBiasHighWarningFlagTx3</t>
  </si>
  <si>
    <t>LaserBiasHighWarningFlagTx2</t>
  </si>
  <si>
    <t>LaserBiasHighWarningFlagTx1</t>
  </si>
  <si>
    <t>LaserBiasLowWarningFlagTx8</t>
  </si>
  <si>
    <t>Lane-specific LaserBiasLowWarningFlagTx</t>
  </si>
  <si>
    <t>LaserBiasLowWarningFlagTx7</t>
  </si>
  <si>
    <t>LaserBiasLowWarningFlagTx6</t>
  </si>
  <si>
    <t>LaserBiasLowWarningFlagTx5</t>
  </si>
  <si>
    <t>LaserBiasLowWarningFlagTx4</t>
  </si>
  <si>
    <t>LaserBiasLowWarningFlagTx3</t>
  </si>
  <si>
    <t>LaserBiasLowWarningFlagTx2</t>
  </si>
  <si>
    <t>LaserBiasLowWarningFlagTx1</t>
  </si>
  <si>
    <t>LOSFlagRx8</t>
  </si>
  <si>
    <t>Lane-specific LOSFlagRx</t>
  </si>
  <si>
    <t>LOSFlagRx7</t>
  </si>
  <si>
    <t>LOSFlagRx6</t>
  </si>
  <si>
    <t>LOSFlagRx5</t>
  </si>
  <si>
    <t>LOSFlagRx4</t>
  </si>
  <si>
    <t>LOSFlagRx3</t>
  </si>
  <si>
    <t>LOSFlagRx2</t>
  </si>
  <si>
    <t>LOSFlagRx1</t>
  </si>
  <si>
    <t>CDRLOLFlagRx8</t>
  </si>
  <si>
    <t>Lane-specific CDRLOLFlagRx</t>
  </si>
  <si>
    <t>CDRLOLFlagRx7</t>
  </si>
  <si>
    <t>CDRLOLFlagRx6</t>
  </si>
  <si>
    <t>CDRLOLFlagRx5</t>
  </si>
  <si>
    <t>CDRLOLFlagRx4</t>
  </si>
  <si>
    <t>CDRLOLFlagRx3</t>
  </si>
  <si>
    <t>CDRLOLFlagRx2</t>
  </si>
  <si>
    <t>CDRLOLFlagRx1</t>
  </si>
  <si>
    <t>OpticalPowerHighAlarmFlagRx8</t>
  </si>
  <si>
    <t>Lane-specific OpticalPowerHighAlarmFlagRx</t>
  </si>
  <si>
    <t>OpticalPowerHighAlarmFlagRx7</t>
  </si>
  <si>
    <t>OpticalPowerHighAlarmFlagRx6</t>
  </si>
  <si>
    <t>OpticalPowerHighAlarmFlagRx5</t>
  </si>
  <si>
    <t>OpticalPowerHighAlarmFlagRx4</t>
  </si>
  <si>
    <t>OpticalPowerHighAlarmFlagRx3</t>
  </si>
  <si>
    <t>OpticalPowerHighAlarmFlagRx2</t>
  </si>
  <si>
    <t>OpticalPowerHighAlarmFlagRx1</t>
  </si>
  <si>
    <t>OpticalPowerLowAlarmFlagRx8</t>
  </si>
  <si>
    <t>Lane-specific OpticalPowerLowAlarmFlagRx</t>
  </si>
  <si>
    <t>OpticalPowerLowAlarmFlagRx7</t>
  </si>
  <si>
    <t>OpticalPowerLowAlarmFlagRx6</t>
  </si>
  <si>
    <t>OpticalPowerLowAlarmFlagRx5</t>
  </si>
  <si>
    <t>OpticalPowerLowAlarmFlagRx4</t>
  </si>
  <si>
    <t>OpticalPowerLowAlarmFlagRx3</t>
  </si>
  <si>
    <t>OpticalPowerLowAlarmFlagRx2</t>
  </si>
  <si>
    <t>OpticalPowerLowAlarmFlagRx1</t>
  </si>
  <si>
    <t>OpticalPowerHighWarningFlagRx8</t>
  </si>
  <si>
    <t>Lane-specific OpticalPowerHighWarningFlagRx</t>
  </si>
  <si>
    <t>OpticalPowerHighWarningFlagRx7</t>
  </si>
  <si>
    <t>OpticalPowerHighWarningFlagRx6</t>
  </si>
  <si>
    <t>OpticalPowerHighWarningFlagRx5</t>
  </si>
  <si>
    <t>OpticalPowerHighWarningFlagRx4</t>
  </si>
  <si>
    <t>OpticalPowerHighWarningFlagRx3</t>
  </si>
  <si>
    <t>OpticalPowerHighWarningFlagRx2</t>
  </si>
  <si>
    <t>OpticalPowerHighWarningFlagRx1</t>
  </si>
  <si>
    <t>OpticalPowerLowWarningFlagRx8</t>
  </si>
  <si>
    <t>Lane-specific OpticalPowerLowWarningFlagRx</t>
  </si>
  <si>
    <t>OpticalPowerLowWarningFlagRx7</t>
  </si>
  <si>
    <t>OpticalPowerLowWarningFlagRx6</t>
  </si>
  <si>
    <t>OpticalPowerLowWarningFlagRx5</t>
  </si>
  <si>
    <t>OpticalPowerLowWarningFlagRx4</t>
  </si>
  <si>
    <t>OpticalPowerLowWarningFlagRx3</t>
  </si>
  <si>
    <t>OpticalPowerLowWarningFlagRx2</t>
  </si>
  <si>
    <t>OpticalPowerLowWarningFlagRx1</t>
  </si>
  <si>
    <t>OutputStatusChangedFlagRx8</t>
  </si>
  <si>
    <t>Lane-specific OutputStatusChangedFlagRx</t>
  </si>
  <si>
    <t>OutputStatusChangedFlagRx7</t>
  </si>
  <si>
    <t>OutputStatusChangedFlagRx6</t>
  </si>
  <si>
    <t>OutputStatusChangedFlagRx5</t>
  </si>
  <si>
    <t>OutputStatusChangedFlagRx4</t>
  </si>
  <si>
    <t>OutputStatusChangedFlagRx3</t>
  </si>
  <si>
    <t>OutputStatusChangedFlagRx2</t>
  </si>
  <si>
    <t>OutputStatusChangedFlagRx1</t>
  </si>
  <si>
    <t>OpticalPowerTx1</t>
  </si>
  <si>
    <t>Measured Tx output optical power</t>
  </si>
  <si>
    <t>OpticalPowerTx2</t>
  </si>
  <si>
    <t>OpticalPowerTx3</t>
  </si>
  <si>
    <t>OpticalPowerTx4</t>
  </si>
  <si>
    <t>OpticalPowerTx5</t>
  </si>
  <si>
    <t>OpticalPowerTx6</t>
  </si>
  <si>
    <t>OpticalPowerTx7</t>
  </si>
  <si>
    <t>OpticalPowerTx8</t>
  </si>
  <si>
    <t>LaserBiasTx1</t>
  </si>
  <si>
    <t>49h 5Eh</t>
  </si>
  <si>
    <t>Measured Tx laser bias current</t>
  </si>
  <si>
    <t>LaserBiasTx2</t>
  </si>
  <si>
    <t>LaserBiasTx3</t>
  </si>
  <si>
    <t>LaserBiasTx4</t>
  </si>
  <si>
    <t>LaserBiasTx5</t>
  </si>
  <si>
    <t>LaserBiasTx6</t>
  </si>
  <si>
    <t>LaserBiasTx7</t>
  </si>
  <si>
    <t>LaserBiasTx8</t>
  </si>
  <si>
    <t>OpticalPowerRx1</t>
  </si>
  <si>
    <t>03h 2Bh</t>
  </si>
  <si>
    <t>Measured Rx input optical power</t>
  </si>
  <si>
    <t>OpticalPowerRx2</t>
  </si>
  <si>
    <t>OpticalPowerRx3</t>
  </si>
  <si>
    <t>OpticalPowerRx4</t>
  </si>
  <si>
    <t>OpticalPowerRx5</t>
  </si>
  <si>
    <t>OpticalPowerRx6</t>
  </si>
  <si>
    <t>OpticalPowerRx7</t>
  </si>
  <si>
    <t>200-201</t>
  </si>
  <si>
    <t>OpticalPowerRx8</t>
  </si>
  <si>
    <t>ConfigStatusLane2</t>
  </si>
  <si>
    <t>Configuration command status</t>
  </si>
  <si>
    <t>ConfigStatusLane1</t>
  </si>
  <si>
    <t>ConfigStatusLane4</t>
  </si>
  <si>
    <t>ConfigStatusLane3</t>
  </si>
  <si>
    <t>ConfigStatusLane6</t>
  </si>
  <si>
    <t>ConfigStatusLane5</t>
  </si>
  <si>
    <t>ConfigStatusLane8</t>
  </si>
  <si>
    <t>ConfigStatusLane7</t>
  </si>
  <si>
    <t>ACSAppSelCodeLane1</t>
  </si>
  <si>
    <t>ACSDataPathIDLane1</t>
  </si>
  <si>
    <t>ACSExplicitControlLane1</t>
  </si>
  <si>
    <t>ACSAppSelCodeLane2</t>
  </si>
  <si>
    <t>ACSDataPathIDLane2</t>
  </si>
  <si>
    <t>ACSExplicitControlLane2</t>
  </si>
  <si>
    <t>ACSAppSelCodeLane3</t>
  </si>
  <si>
    <t>ACSDataPathIDLane3</t>
  </si>
  <si>
    <t>ACSExplicitControlLane3</t>
  </si>
  <si>
    <t>209</t>
  </si>
  <si>
    <t>ACSAppSelCodeLane4</t>
  </si>
  <si>
    <t>ACSDataPathIDLane4</t>
  </si>
  <si>
    <t>ACSExplicitControlLane4</t>
  </si>
  <si>
    <t>210</t>
  </si>
  <si>
    <t>ACSAppSelCodeLane5</t>
  </si>
  <si>
    <t>ACSDataPathIDLane5</t>
  </si>
  <si>
    <t>ACSExplicitControlLane5</t>
  </si>
  <si>
    <t>211</t>
  </si>
  <si>
    <t>ACSAppSelCodeLane6</t>
  </si>
  <si>
    <t>ACSDataPathIDLane6</t>
  </si>
  <si>
    <t>ACSExplicitControlLane6</t>
  </si>
  <si>
    <t>212</t>
  </si>
  <si>
    <t>ACSAppSelCodeLane7</t>
  </si>
  <si>
    <t>ACSDataPathIDLane7</t>
  </si>
  <si>
    <t>ACSExplicitControlLane7</t>
  </si>
  <si>
    <t>ACSAppSelCodeLane8</t>
  </si>
  <si>
    <t>ACSDataPathIDLane8</t>
  </si>
  <si>
    <t>ACSExplicitControlLane8</t>
  </si>
  <si>
    <t>ACSAdaptiveInputEqEnableTx8</t>
  </si>
  <si>
    <t>Active Tx adaptive equalizer enable</t>
  </si>
  <si>
    <t>ACSAdaptiveInputEqEnableTx7</t>
  </si>
  <si>
    <t>ACSAdaptiveInputEqEnableTx6</t>
  </si>
  <si>
    <t>ACSAdaptiveInputEqEnableTx5</t>
  </si>
  <si>
    <t>ACSAdaptiveInputEqEnableTx4</t>
  </si>
  <si>
    <t>ACSAdaptiveInputEqEnableTx3</t>
  </si>
  <si>
    <t>ACSAdaptiveInputEqEnableTx2</t>
  </si>
  <si>
    <t>ACSAdaptiveInputEqEnableTx1</t>
  </si>
  <si>
    <t>ACSAdaptiveInputEqRecalledTx4</t>
  </si>
  <si>
    <t>Active Tx equalizer recall status</t>
  </si>
  <si>
    <t>ACSAdaptiveInputEqRecalledTx3</t>
  </si>
  <si>
    <t>ACSAdaptiveInputEqRecalledTx2</t>
  </si>
  <si>
    <t>ACSAdaptiveInputEqRecalledTx1</t>
  </si>
  <si>
    <t>ACSAdaptiveInputEqRecalledTx8</t>
  </si>
  <si>
    <t>ACSAdaptiveInputEqRecalledTx7</t>
  </si>
  <si>
    <t>ACSAdaptiveInputEqRecalledTx6</t>
  </si>
  <si>
    <t>ACSAdaptiveInputEqRecalledTx5</t>
  </si>
  <si>
    <t>ACSFixedInputEqTargetTx2</t>
  </si>
  <si>
    <t>Active fixed Tx input equalizer target</t>
  </si>
  <si>
    <t>ACSFixedInputEqTargetTx1</t>
  </si>
  <si>
    <t>ACSFixedInputEqTargetTx4</t>
  </si>
  <si>
    <t>ACSFixedInputEqTargetTx3</t>
  </si>
  <si>
    <t>ACSFixedInputEqTargetTx6</t>
  </si>
  <si>
    <t>ACSFixedInputEqTargetTx5</t>
  </si>
  <si>
    <t>ACSFixedInputEqTargetTx8</t>
  </si>
  <si>
    <t>ACSFixedInputEqTargetTx7</t>
  </si>
  <si>
    <t>ACSCDREnableTx8</t>
  </si>
  <si>
    <t>Active Tx CDR enable</t>
  </si>
  <si>
    <t>ACSCDREnableTx7</t>
  </si>
  <si>
    <t>ACSCDREnableTx6</t>
  </si>
  <si>
    <t>ACSCDREnableTx5</t>
  </si>
  <si>
    <t>ACSCDREnableTx4</t>
  </si>
  <si>
    <t>ACSCDREnableTx3</t>
  </si>
  <si>
    <t>ACSCDREnableTx2</t>
  </si>
  <si>
    <t>ACSCDREnableTx1</t>
  </si>
  <si>
    <t>ACSCDREnableRx8</t>
  </si>
  <si>
    <t>Active Rx CDR enable</t>
  </si>
  <si>
    <t>ACSCDREnableRx7</t>
  </si>
  <si>
    <t>ACSCDREnableRx6</t>
  </si>
  <si>
    <t>ACSCDREnableRx5</t>
  </si>
  <si>
    <t>ACSCDREnableRx4</t>
  </si>
  <si>
    <t>ACSCDREnableRx3</t>
  </si>
  <si>
    <t>ACSCDREnableRx2</t>
  </si>
  <si>
    <t>ACSCDREnableRx1</t>
  </si>
  <si>
    <t>ACSOutputEqPreCursorTargetRx2</t>
  </si>
  <si>
    <t>Active Rx output pre-cursor target</t>
  </si>
  <si>
    <t>ACSOutputEqPreCursorTargetRx1</t>
  </si>
  <si>
    <t>ACSOutputEqPreCursorTargetRx4</t>
  </si>
  <si>
    <t>ACSOutputEqPreCursorTargetRx3</t>
  </si>
  <si>
    <t>ACSOutputEqPreCursorTargetRx6</t>
  </si>
  <si>
    <t>ACSOutputEqPreCursorTargetRx5</t>
  </si>
  <si>
    <t>ACSOutputEqPreCursorTargetRx8</t>
  </si>
  <si>
    <t>ACSOutputEqPreCursorTargetRx7</t>
  </si>
  <si>
    <t>ACSOutputEqPostCursorTargetRx2</t>
  </si>
  <si>
    <t>Active Rx output post-cursor target</t>
  </si>
  <si>
    <t>ACSOutputEqPostCursorTargetRx1</t>
  </si>
  <si>
    <t>ACSOutputEqPostCursorTargetRx4</t>
  </si>
  <si>
    <t>ACSOutputEqPostCursorTargetRx3</t>
  </si>
  <si>
    <t>ACSOutputEqPostCursorTargetRx6</t>
  </si>
  <si>
    <t>ACSOutputEqPostCursorTargetRx5</t>
  </si>
  <si>
    <t>ACSOutputEqPostCursorTargetRx8</t>
  </si>
  <si>
    <t>ACSOutputEqPostCursorTargetRx7</t>
  </si>
  <si>
    <t>ACSOutputAmplitudeTargetRx2</t>
  </si>
  <si>
    <t>Active Rx output amplitude target</t>
  </si>
  <si>
    <t>ACSOutputAmplitudeTargetRx1</t>
  </si>
  <si>
    <t>ACSOutputAmplitudeTargetRx4</t>
  </si>
  <si>
    <t>ACSOutputAmplitudeTargetRx3</t>
  </si>
  <si>
    <t>233</t>
  </si>
  <si>
    <t>ACSOutputAmplitudeTargetRx6</t>
  </si>
  <si>
    <t>ACSOutputAmplitudeTargetRx5</t>
  </si>
  <si>
    <t>234</t>
  </si>
  <si>
    <t>ACSOutputAmplitudeTargetRx8</t>
  </si>
  <si>
    <t>ACSOutputAmplitudeTargetRx7</t>
  </si>
  <si>
    <t>235</t>
  </si>
  <si>
    <t>DPInitPendingLane8</t>
  </si>
  <si>
    <t>Data Path initialization pending</t>
  </si>
  <si>
    <t>DPInitPendingLane7</t>
  </si>
  <si>
    <t>DPInitPendingLane6</t>
  </si>
  <si>
    <t>DPInitPendingLane5</t>
  </si>
  <si>
    <t>DPInitPendingLane4</t>
  </si>
  <si>
    <t>DPInitPendingLane3</t>
  </si>
  <si>
    <t>DPInitPendingLane2</t>
  </si>
  <si>
    <t>DPInitPendingLane1</t>
  </si>
  <si>
    <t>236-239</t>
  </si>
  <si>
    <t>240</t>
  </si>
  <si>
    <t>MediaLaneToWavelengthMappingTx1</t>
  </si>
  <si>
    <t>Tx media lane wavelength mapping</t>
  </si>
  <si>
    <t>MediaLaneToFiberMappingTx1</t>
  </si>
  <si>
    <t>Tx media lane fiber mapping</t>
  </si>
  <si>
    <t>241</t>
  </si>
  <si>
    <t>MediaLaneToWavelengthMappingTx2</t>
  </si>
  <si>
    <t>MediaLaneToFiberMappingTx2</t>
  </si>
  <si>
    <t>242</t>
  </si>
  <si>
    <t>MediaLaneToWavelengthMappingTx3</t>
  </si>
  <si>
    <t>MediaLaneToFiberMappingTx3</t>
  </si>
  <si>
    <t>243</t>
  </si>
  <si>
    <t>MediaLaneToWavelengthMappingTx4</t>
  </si>
  <si>
    <t>MediaLaneToFiberMappingTx4</t>
  </si>
  <si>
    <t>244</t>
  </si>
  <si>
    <t>MediaLaneToWavelengthMappingTx5</t>
  </si>
  <si>
    <t>MediaLaneToFiberMappingTx5</t>
  </si>
  <si>
    <t>245</t>
  </si>
  <si>
    <t>MediaLaneToWavelengthMappingTx6</t>
  </si>
  <si>
    <t>MediaLaneToFiberMappingTx6</t>
  </si>
  <si>
    <t>246</t>
  </si>
  <si>
    <t>MediaLaneToWavelengthMappingTx7</t>
  </si>
  <si>
    <t>MediaLaneToFiberMappingTx7</t>
  </si>
  <si>
    <t>247</t>
  </si>
  <si>
    <t>MediaLaneToWavelengthMappingTx8</t>
  </si>
  <si>
    <t>MediaLaneToFiberMappingTx8</t>
  </si>
  <si>
    <t>248</t>
  </si>
  <si>
    <t>MediaLaneToWavelengthMappingRx1</t>
  </si>
  <si>
    <t>Rx media lane wavelength mapping</t>
  </si>
  <si>
    <t>MediaLaneToFiberMappingRx1</t>
  </si>
  <si>
    <t>Rx media lane fiber mapping</t>
  </si>
  <si>
    <t>249</t>
  </si>
  <si>
    <t>MediaLaneToWavelengthMappingRx2</t>
  </si>
  <si>
    <t>MediaLaneToFiberMappingRx2</t>
  </si>
  <si>
    <t>250</t>
  </si>
  <si>
    <t>MediaLaneToWavelengthMappingRx3</t>
  </si>
  <si>
    <t>MediaLaneToFiberMappingRx3</t>
  </si>
  <si>
    <t>251</t>
  </si>
  <si>
    <t>MediaLaneToWavelengthMappingRx4</t>
  </si>
  <si>
    <t>MediaLaneToFiberMappingRx4</t>
  </si>
  <si>
    <t>252</t>
  </si>
  <si>
    <t>MediaLaneToWavelengthMappingRx5</t>
  </si>
  <si>
    <t>MediaLaneToFiberMappingRx5</t>
  </si>
  <si>
    <t>253</t>
  </si>
  <si>
    <t>MediaLaneToWavelengthMappingRx6</t>
  </si>
  <si>
    <t>MediaLaneToFiberMappingRx6</t>
  </si>
  <si>
    <t>254</t>
  </si>
  <si>
    <t>MediaLaneToWavelengthMappingRx7</t>
  </si>
  <si>
    <t>MediaLaneToFiberMappingRx7</t>
  </si>
  <si>
    <t>255</t>
  </si>
  <si>
    <t>MediaLaneToWavelengthMappingRx8</t>
  </si>
  <si>
    <t>MediaLaneToFiberMappingRx8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</si>
</sst>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quot;月&quot;d&quot;日&quot;"/>
    <numFmt numFmtId="165" formatCode="[$-F400]h:mm:ss\ AM/PM"/>
  </numFmts>
  <fonts count="16">
    <font>
      <sz val="11"/>
      <color theme="1"/>
      <name val="Calibri"/>
      <family val="2"/>
      <scheme val="minor"/>
    </font>
    <font>
      <sz val="11"/>
      <color rgb="FFFF0000"/>
      <name val="Calibri"/>
      <family val="3"/>
      <charset val="134"/>
      <scheme val="minor"/>
    </font>
    <font>
      <sz val="11"/>
      <color theme="1"/>
      <name val="Calibri"/>
      <family val="3"/>
      <charset val="134"/>
      <scheme val="minor"/>
    </font>
    <font>
      <sz val="11"/>
      <name val="Calibri"/>
      <family val="3"/>
      <charset val="134"/>
      <scheme val="minor"/>
    </font>
    <font>
      <sz val="11"/>
      <name val="Calibri"/>
      <family val="2"/>
      <scheme val="minor"/>
    </font>
    <font>
      <sz val="11"/>
      <color theme="1"/>
      <name val="Calibri"/>
      <family val="2"/>
      <scheme val="minor"/>
    </font>
    <font>
      <sz val="11"/>
      <name val="Calibri"/>
      <family val="1"/>
      <charset val="136"/>
      <scheme val="minor"/>
    </font>
    <font>
      <sz val="11"/>
      <color theme="1"/>
      <name val="Calibri"/>
      <family val="2"/>
    </font>
    <font>
      <sz val="11"/>
      <color theme="1"/>
      <name val="Calibri"/>
      <family val="2"/>
      <charset val="134"/>
      <scheme val="minor"/>
    </font>
    <font>
      <sz val="11"/>
      <color theme="1"/>
      <name val="Calibri Light"/>
      <family val="1"/>
      <scheme val="major"/>
    </font>
    <font>
      <b/>
      <sz val="12"/>
      <color theme="1"/>
      <name val="Cambria"/>
      <family val="1"/>
    </font>
    <font>
      <sz val="11"/>
      <color theme="1"/>
      <name val="Cambria"/>
      <family val="1"/>
    </font>
    <font>
      <sz val="12"/>
      <color rgb="FF000000"/>
      <name val="Times New Roman"/>
      <family val="1"/>
    </font>
    <font>
      <sz val="12"/>
      <name val="Times New Roman"/>
      <family val="1"/>
    </font>
    <font>
      <sz val="12"/>
      <color theme="1"/>
      <name val="Times New Roman"/>
      <family val="1"/>
    </font>
    <font>
      <sz val="11"/>
      <name val="Cambria"/>
      <family val="1"/>
    </font>
  </fonts>
  <fills count="7">
    <fill>
      <patternFill patternType="none"/>
    </fill>
    <fill>
      <patternFill patternType="gray125"/>
    </fill>
    <fill>
      <patternFill patternType="solid">
        <fgColor theme="0" tint="-0.249977111117893"/>
        <bgColor indexed="64"/>
      </patternFill>
    </fill>
    <fill>
      <patternFill patternType="solid">
        <fgColor rgb="FFFFFF00"/>
        <bgColor indexed="64"/>
      </patternFill>
    </fill>
    <fill>
      <patternFill patternType="solid">
        <fgColor rgb="FFFFFFFF"/>
        <bgColor indexed="64"/>
      </patternFill>
    </fill>
    <fill>
      <patternFill patternType="solid">
        <fgColor theme="4" tint="0.39997558519241921"/>
        <bgColor indexed="64"/>
      </patternFill>
    </fill>
    <fill>
      <patternFill patternType="solid">
        <fgColor theme="8" tint="0.39997558519241921"/>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s>
  <cellStyleXfs count="3">
    <xf numFmtId="0" fontId="0" fillId="0" borderId="0"/>
    <xf numFmtId="165" fontId="5" fillId="0" borderId="0"/>
    <xf numFmtId="0" fontId="8" fillId="0" borderId="0">
      <alignment vertical="center"/>
    </xf>
  </cellStyleXfs>
  <cellXfs count="117">
    <xf numFmtId="0" fontId="0" fillId="0" borderId="0" xfId="0"/>
    <xf numFmtId="0" fontId="0" fillId="0" borderId="0" xfId="0" applyAlignment="1">
      <alignment horizontal="center"/>
    </xf>
    <xf numFmtId="14" fontId="0" fillId="0" borderId="1" xfId="0" quotePrefix="1" applyNumberFormat="1" applyBorder="1" applyAlignment="1">
      <alignment horizontal="center" vertical="center"/>
    </xf>
    <xf numFmtId="0" fontId="0" fillId="0" borderId="0" xfId="0" applyAlignment="1">
      <alignment horizontal="center" vertical="center"/>
    </xf>
    <xf numFmtId="0" fontId="0" fillId="2" borderId="1" xfId="0" applyFill="1" applyBorder="1" applyAlignment="1">
      <alignment horizontal="left" vertical="center"/>
    </xf>
    <xf numFmtId="0" fontId="0" fillId="0" borderId="0" xfId="0" applyAlignment="1">
      <alignment horizontal="left" vertical="center"/>
    </xf>
    <xf numFmtId="0" fontId="0" fillId="2" borderId="1" xfId="0" applyFill="1"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left" vertical="center" wrapText="1"/>
    </xf>
    <xf numFmtId="0" fontId="0" fillId="0" borderId="1" xfId="0" applyBorder="1" applyAlignment="1">
      <alignment horizontal="left" vertical="center"/>
    </xf>
    <xf numFmtId="0" fontId="0" fillId="2" borderId="1" xfId="0" applyFill="1" applyBorder="1" applyAlignment="1">
      <alignment horizontal="center" vertical="center" wrapText="1"/>
    </xf>
    <xf numFmtId="0" fontId="0" fillId="0" borderId="1" xfId="0" applyBorder="1" applyAlignment="1">
      <alignment horizontal="center"/>
    </xf>
    <xf numFmtId="0" fontId="0" fillId="0" borderId="1" xfId="0" quotePrefix="1" applyBorder="1" applyAlignment="1">
      <alignment horizontal="left" vertical="center"/>
    </xf>
    <xf numFmtId="0" fontId="3" fillId="0" borderId="0" xfId="0" applyFont="1" applyAlignment="1">
      <alignment horizontal="center" vertical="center"/>
    </xf>
    <xf numFmtId="49" fontId="0" fillId="0" borderId="0" xfId="0" applyNumberFormat="1"/>
    <xf numFmtId="0" fontId="1" fillId="0" borderId="0" xfId="0" applyFont="1"/>
    <xf numFmtId="0" fontId="0" fillId="0" borderId="0" xfId="0" applyAlignment="1">
      <alignment horizontal="right"/>
    </xf>
    <xf numFmtId="164" fontId="0" fillId="0" borderId="1" xfId="0" quotePrefix="1" applyNumberFormat="1" applyBorder="1" applyAlignment="1">
      <alignment horizontal="center" vertical="center"/>
    </xf>
    <xf numFmtId="0" fontId="0" fillId="0" borderId="1" xfId="0" quotePrefix="1" applyBorder="1" applyAlignment="1">
      <alignment horizontal="center" vertical="center"/>
    </xf>
    <xf numFmtId="0" fontId="6" fillId="0" borderId="1" xfId="0" applyFont="1" applyBorder="1" applyAlignment="1">
      <alignment horizontal="left" vertical="center"/>
    </xf>
    <xf numFmtId="0" fontId="0" fillId="0" borderId="1" xfId="0" quotePrefix="1" applyBorder="1" applyAlignment="1">
      <alignment horizontal="center"/>
    </xf>
    <xf numFmtId="0" fontId="0" fillId="0" borderId="4" xfId="0" applyBorder="1" applyAlignment="1">
      <alignment horizontal="left" vertical="center"/>
    </xf>
    <xf numFmtId="0" fontId="7" fillId="0" borderId="1" xfId="0" applyFont="1" applyBorder="1" applyAlignment="1">
      <alignment horizontal="left" vertical="center"/>
    </xf>
    <xf numFmtId="0" fontId="7" fillId="0" borderId="0" xfId="0" applyFont="1"/>
    <xf numFmtId="0" fontId="7" fillId="0" borderId="0" xfId="0" applyFont="1" applyAlignment="1">
      <alignment horizontal="left" vertical="center"/>
    </xf>
    <xf numFmtId="0" fontId="7" fillId="0" borderId="0" xfId="0" applyFont="1" applyAlignment="1">
      <alignment horizontal="right"/>
    </xf>
    <xf numFmtId="0" fontId="7" fillId="2" borderId="1" xfId="0" applyFont="1" applyFill="1" applyBorder="1" applyAlignment="1">
      <alignment horizontal="left" vertical="center"/>
    </xf>
    <xf numFmtId="0" fontId="7" fillId="2" borderId="1" xfId="0" applyFont="1" applyFill="1" applyBorder="1" applyAlignment="1">
      <alignment horizontal="center" vertical="center"/>
    </xf>
    <xf numFmtId="0" fontId="7" fillId="0" borderId="1" xfId="0" applyFont="1" applyBorder="1" applyAlignment="1">
      <alignment horizontal="center" vertical="center"/>
    </xf>
    <xf numFmtId="0" fontId="7" fillId="0" borderId="0" xfId="0" applyFont="1" applyAlignment="1">
      <alignment horizontal="center" vertical="center"/>
    </xf>
    <xf numFmtId="49" fontId="0" fillId="0" borderId="1" xfId="0" applyNumberFormat="1" applyBorder="1" applyAlignment="1">
      <alignment horizontal="center" vertical="center"/>
    </xf>
    <xf numFmtId="0" fontId="0" fillId="0" borderId="1" xfId="0" applyBorder="1" applyAlignment="1">
      <alignment vertical="center" wrapText="1"/>
    </xf>
    <xf numFmtId="0" fontId="0" fillId="0" borderId="1" xfId="0" applyBorder="1" applyAlignment="1">
      <alignment vertical="center"/>
    </xf>
    <xf numFmtId="0" fontId="4" fillId="0" borderId="1" xfId="0" applyFont="1" applyBorder="1" applyAlignment="1">
      <alignment horizontal="left" vertical="center"/>
    </xf>
    <xf numFmtId="11" fontId="7" fillId="0" borderId="0" xfId="0" applyNumberFormat="1" applyFont="1"/>
    <xf numFmtId="0" fontId="3" fillId="0" borderId="1" xfId="0" applyFont="1" applyBorder="1" applyAlignment="1">
      <alignment horizontal="left" vertical="center"/>
    </xf>
    <xf numFmtId="0" fontId="7" fillId="0" borderId="1" xfId="0" applyFont="1" applyBorder="1" applyAlignment="1">
      <alignment horizontal="left"/>
    </xf>
    <xf numFmtId="11" fontId="7" fillId="0" borderId="1" xfId="0" applyNumberFormat="1" applyFont="1" applyBorder="1" applyAlignment="1">
      <alignment horizontal="left"/>
    </xf>
    <xf numFmtId="0" fontId="7" fillId="0" borderId="0" xfId="0" applyFont="1" applyAlignment="1">
      <alignment horizontal="left"/>
    </xf>
    <xf numFmtId="49" fontId="0" fillId="2" borderId="1" xfId="0" applyNumberFormat="1" applyFill="1" applyBorder="1" applyAlignment="1">
      <alignment horizontal="center" vertical="center"/>
    </xf>
    <xf numFmtId="49" fontId="0" fillId="0" borderId="1" xfId="0" quotePrefix="1" applyNumberFormat="1" applyBorder="1" applyAlignment="1">
      <alignment horizontal="center" vertical="center"/>
    </xf>
    <xf numFmtId="49" fontId="0" fillId="0" borderId="0" xfId="0" applyNumberFormat="1" applyAlignment="1">
      <alignment horizontal="center" vertical="center"/>
    </xf>
    <xf numFmtId="49" fontId="0" fillId="0" borderId="0" xfId="0" applyNumberFormat="1" applyAlignment="1">
      <alignment horizontal="left" vertical="center"/>
    </xf>
    <xf numFmtId="49" fontId="3" fillId="0" borderId="0" xfId="0" applyNumberFormat="1" applyFont="1" applyAlignment="1">
      <alignment horizontal="center" vertical="center"/>
    </xf>
    <xf numFmtId="49" fontId="7" fillId="0" borderId="0" xfId="0" applyNumberFormat="1" applyFont="1" applyAlignment="1">
      <alignment horizontal="center" vertical="center"/>
    </xf>
    <xf numFmtId="49" fontId="0" fillId="4" borderId="1" xfId="0" applyNumberFormat="1" applyFill="1" applyBorder="1" applyAlignment="1">
      <alignment horizontal="center" vertical="center"/>
    </xf>
    <xf numFmtId="0" fontId="0" fillId="4" borderId="1" xfId="0" applyFill="1" applyBorder="1" applyAlignment="1">
      <alignment horizontal="center" vertical="center"/>
    </xf>
    <xf numFmtId="0" fontId="3" fillId="4" borderId="1" xfId="0" applyFont="1" applyFill="1" applyBorder="1" applyAlignment="1">
      <alignment horizontal="center" vertical="center"/>
    </xf>
    <xf numFmtId="0" fontId="2" fillId="4" borderId="1" xfId="0" applyFont="1" applyFill="1" applyBorder="1" applyAlignment="1">
      <alignment horizontal="center" vertical="center"/>
    </xf>
    <xf numFmtId="0" fontId="2" fillId="4" borderId="1" xfId="0" applyFont="1" applyFill="1" applyBorder="1" applyAlignment="1">
      <alignment horizontal="center" vertical="center" wrapText="1"/>
    </xf>
    <xf numFmtId="0" fontId="0" fillId="4" borderId="1" xfId="0" applyFill="1" applyBorder="1" applyAlignment="1">
      <alignment horizontal="center" vertical="center" wrapText="1"/>
    </xf>
    <xf numFmtId="0" fontId="0" fillId="4" borderId="0" xfId="0" applyFill="1" applyAlignment="1">
      <alignment horizontal="left" vertical="center"/>
    </xf>
    <xf numFmtId="0" fontId="6" fillId="4" borderId="1" xfId="0" applyFont="1" applyFill="1" applyBorder="1" applyAlignment="1">
      <alignment horizontal="center" vertical="center"/>
    </xf>
    <xf numFmtId="0" fontId="4" fillId="4" borderId="1" xfId="0" applyFont="1" applyFill="1" applyBorder="1" applyAlignment="1">
      <alignment horizontal="center" vertical="center"/>
    </xf>
    <xf numFmtId="0" fontId="0" fillId="4" borderId="1" xfId="0" quotePrefix="1" applyFill="1" applyBorder="1" applyAlignment="1">
      <alignment horizontal="center" vertical="center"/>
    </xf>
    <xf numFmtId="0" fontId="7" fillId="4" borderId="1" xfId="0" applyFont="1" applyFill="1" applyBorder="1" applyAlignment="1">
      <alignment horizontal="center" vertical="center"/>
    </xf>
    <xf numFmtId="11" fontId="7" fillId="4" borderId="1" xfId="0" applyNumberFormat="1" applyFont="1" applyFill="1" applyBorder="1" applyAlignment="1">
      <alignment horizontal="center" vertical="center"/>
    </xf>
    <xf numFmtId="49" fontId="6" fillId="0" borderId="1" xfId="0" applyNumberFormat="1" applyFont="1" applyBorder="1" applyAlignment="1">
      <alignment horizontal="center" vertical="center"/>
    </xf>
    <xf numFmtId="0" fontId="7" fillId="4" borderId="1" xfId="0" quotePrefix="1" applyFont="1" applyFill="1" applyBorder="1" applyAlignment="1">
      <alignment horizontal="center" vertical="center"/>
    </xf>
    <xf numFmtId="0" fontId="9" fillId="0" borderId="0" xfId="2" applyFont="1" applyAlignment="1">
      <alignment horizontal="left" vertical="top" wrapText="1"/>
    </xf>
    <xf numFmtId="0" fontId="10" fillId="2" borderId="1" xfId="2" applyFont="1" applyFill="1" applyBorder="1" applyAlignment="1">
      <alignment vertical="center" wrapText="1"/>
    </xf>
    <xf numFmtId="0" fontId="11" fillId="0" borderId="1" xfId="2" applyFont="1" applyBorder="1" applyAlignment="1">
      <alignment vertical="top" wrapText="1"/>
    </xf>
    <xf numFmtId="0" fontId="9" fillId="0" borderId="0" xfId="2" applyFont="1" applyAlignment="1">
      <alignment vertical="top" wrapText="1"/>
    </xf>
    <xf numFmtId="49" fontId="9" fillId="0" borderId="0" xfId="2" applyNumberFormat="1" applyFont="1" applyAlignment="1">
      <alignment horizontal="left" vertical="top" wrapText="1"/>
    </xf>
    <xf numFmtId="0" fontId="0" fillId="2" borderId="1" xfId="0" applyFill="1" applyBorder="1" applyAlignment="1">
      <alignment horizontal="left" vertical="center" wrapText="1"/>
    </xf>
    <xf numFmtId="0" fontId="6" fillId="0" borderId="1" xfId="0" applyFont="1" applyBorder="1" applyAlignment="1">
      <alignment horizontal="left" vertical="center" wrapText="1"/>
    </xf>
    <xf numFmtId="49" fontId="0" fillId="0" borderId="0" xfId="0" applyNumberFormat="1" applyAlignment="1">
      <alignment horizontal="center" vertical="center" wrapText="1"/>
    </xf>
    <xf numFmtId="0" fontId="12" fillId="0" borderId="0" xfId="0" applyFont="1" applyAlignment="1">
      <alignment vertical="center"/>
    </xf>
    <xf numFmtId="0" fontId="12" fillId="0" borderId="1" xfId="0" applyFont="1" applyBorder="1"/>
    <xf numFmtId="0" fontId="12" fillId="0" borderId="1" xfId="0" applyFont="1" applyBorder="1" applyAlignment="1">
      <alignment horizontal="right"/>
    </xf>
    <xf numFmtId="0" fontId="14" fillId="0" borderId="1" xfId="0" applyFont="1" applyBorder="1" applyAlignment="1">
      <alignment horizontal="right"/>
    </xf>
    <xf numFmtId="0" fontId="13" fillId="0" borderId="1" xfId="0" applyFont="1" applyBorder="1" applyAlignment="1">
      <alignment horizontal="right"/>
    </xf>
    <xf numFmtId="0" fontId="12" fillId="0" borderId="1" xfId="0" applyFont="1" applyBorder="1" applyAlignment="1">
      <alignment vertical="center"/>
    </xf>
    <xf numFmtId="0" fontId="12" fillId="0" borderId="7" xfId="0" applyFont="1" applyBorder="1" applyAlignment="1">
      <alignment horizontal="center"/>
    </xf>
    <xf numFmtId="0" fontId="13" fillId="0" borderId="7" xfId="0" applyFont="1" applyBorder="1" applyAlignment="1">
      <alignment horizontal="center"/>
    </xf>
    <xf numFmtId="0" fontId="12" fillId="0" borderId="7" xfId="0" applyFont="1" applyBorder="1"/>
    <xf numFmtId="0" fontId="7" fillId="0" borderId="1" xfId="0" quotePrefix="1" applyFont="1" applyBorder="1" applyAlignment="1">
      <alignment horizontal="center" vertical="center"/>
    </xf>
    <xf numFmtId="0" fontId="12" fillId="0" borderId="1" xfId="0" applyFont="1" applyBorder="1" applyAlignment="1">
      <alignment horizontal="center"/>
    </xf>
    <xf numFmtId="0" fontId="12" fillId="0" borderId="8" xfId="0" applyFont="1" applyBorder="1" applyAlignment="1">
      <alignment horizontal="center"/>
    </xf>
    <xf numFmtId="0" fontId="12" fillId="0" borderId="8" xfId="0" applyFont="1" applyBorder="1"/>
    <xf numFmtId="0" fontId="12" fillId="0" borderId="0" xfId="0" applyFont="1" applyAlignment="1">
      <alignment horizontal="center" vertical="center"/>
    </xf>
    <xf numFmtId="0" fontId="13" fillId="0" borderId="0" xfId="0" applyFont="1" applyAlignment="1">
      <alignment horizontal="center" vertical="center"/>
    </xf>
    <xf numFmtId="0" fontId="4" fillId="3" borderId="1" xfId="0" quotePrefix="1" applyFont="1" applyFill="1" applyBorder="1" applyAlignment="1">
      <alignment horizontal="center" vertical="center"/>
    </xf>
    <xf numFmtId="0" fontId="4" fillId="3" borderId="1" xfId="0" applyFont="1" applyFill="1" applyBorder="1" applyAlignment="1">
      <alignment horizontal="center" vertical="center"/>
    </xf>
    <xf numFmtId="0" fontId="15" fillId="3" borderId="1" xfId="2" applyFont="1" applyFill="1" applyBorder="1" applyAlignment="1">
      <alignment vertical="top" wrapText="1"/>
    </xf>
    <xf numFmtId="0" fontId="0" fillId="5" borderId="9" xfId="0" applyFill="1" applyBorder="1" applyAlignment="1">
      <alignment horizontal="center" vertical="center"/>
    </xf>
    <xf numFmtId="0" fontId="0" fillId="5" borderId="10" xfId="0" applyFill="1" applyBorder="1" applyAlignment="1">
      <alignment horizontal="center" vertical="center"/>
    </xf>
    <xf numFmtId="0" fontId="0" fillId="5" borderId="11" xfId="0" applyFill="1" applyBorder="1" applyAlignment="1">
      <alignment horizontal="center" vertical="center"/>
    </xf>
    <xf numFmtId="14" fontId="0" fillId="0" borderId="1" xfId="0" applyNumberFormat="1" applyBorder="1" applyAlignment="1">
      <alignment horizontal="center" vertical="center"/>
    </xf>
    <xf numFmtId="0" fontId="0" fillId="0" borderId="1" xfId="0" applyBorder="1"/>
    <xf numFmtId="0" fontId="0" fillId="6" borderId="1" xfId="0" applyFill="1" applyBorder="1" applyAlignment="1">
      <alignment horizontal="center" vertical="center"/>
    </xf>
    <xf numFmtId="0" fontId="0" fillId="6" borderId="1" xfId="0" quotePrefix="1" applyFill="1" applyBorder="1" applyAlignment="1">
      <alignment horizontal="center" vertical="center"/>
    </xf>
    <xf numFmtId="49" fontId="0" fillId="6" borderId="1" xfId="0" applyNumberFormat="1" applyFill="1" applyBorder="1" applyAlignment="1">
      <alignment horizontal="center" vertical="center"/>
    </xf>
    <xf numFmtId="0" fontId="0" fillId="6" borderId="1" xfId="0" applyFill="1" applyBorder="1" applyAlignment="1">
      <alignment horizontal="left" vertical="center"/>
    </xf>
    <xf numFmtId="0" fontId="0" fillId="6" borderId="1" xfId="0" applyFill="1" applyBorder="1" applyAlignment="1">
      <alignment horizontal="left" vertical="center" wrapText="1"/>
    </xf>
    <xf numFmtId="16" fontId="0" fillId="6" borderId="1" xfId="0" quotePrefix="1" applyNumberFormat="1" applyFill="1" applyBorder="1" applyAlignment="1">
      <alignment horizontal="center" vertical="center"/>
    </xf>
    <xf numFmtId="11" fontId="7" fillId="0" borderId="1" xfId="0" applyNumberFormat="1" applyFont="1" applyBorder="1" applyAlignment="1">
      <alignment horizontal="center" vertical="center"/>
    </xf>
    <xf numFmtId="0" fontId="5" fillId="2" borderId="1" xfId="0" applyFont="1" applyFill="1" applyBorder="1" applyAlignment="1">
      <alignment horizontal="center" vertical="center"/>
    </xf>
    <xf numFmtId="0" fontId="5" fillId="2" borderId="1" xfId="0" applyFont="1" applyFill="1" applyBorder="1" applyAlignment="1">
      <alignment horizontal="left" vertical="center"/>
    </xf>
    <xf numFmtId="0" fontId="5" fillId="0" borderId="1" xfId="0" applyFont="1" applyBorder="1" applyAlignment="1">
      <alignment horizontal="center" vertical="center"/>
    </xf>
    <xf numFmtId="0" fontId="5" fillId="0" borderId="1" xfId="0" applyFont="1" applyBorder="1" applyAlignment="1">
      <alignment horizontal="left" vertical="center"/>
    </xf>
    <xf numFmtId="0" fontId="5" fillId="0" borderId="1" xfId="0" applyFont="1" applyBorder="1" applyAlignment="1">
      <alignment horizontal="left" vertical="center" wrapText="1"/>
    </xf>
    <xf numFmtId="0" fontId="5" fillId="4" borderId="1" xfId="0" applyFont="1" applyFill="1" applyBorder="1" applyAlignment="1">
      <alignment horizontal="center" vertical="center"/>
    </xf>
    <xf numFmtId="0" fontId="5" fillId="0" borderId="3" xfId="0" applyFont="1" applyBorder="1"/>
    <xf numFmtId="0" fontId="0" fillId="6" borderId="1" xfId="0" applyFill="1" applyBorder="1" applyAlignment="1">
      <alignment horizontal="center" vertical="center"/>
    </xf>
    <xf numFmtId="0" fontId="0" fillId="0" borderId="3" xfId="0" applyBorder="1"/>
    <xf numFmtId="0" fontId="0" fillId="0" borderId="2" xfId="0" applyBorder="1"/>
    <xf numFmtId="0" fontId="0" fillId="0" borderId="1" xfId="0" applyBorder="1" applyAlignment="1">
      <alignment horizontal="center" vertical="center"/>
    </xf>
    <xf numFmtId="0" fontId="0" fillId="0" borderId="1" xfId="0" quotePrefix="1" applyBorder="1" applyAlignment="1">
      <alignment horizontal="center" vertical="center"/>
    </xf>
    <xf numFmtId="0" fontId="12" fillId="0" borderId="4" xfId="0" applyFont="1" applyBorder="1" applyAlignment="1">
      <alignment horizontal="left" vertical="center" wrapText="1"/>
    </xf>
    <xf numFmtId="0" fontId="0" fillId="0" borderId="0" xfId="0" applyAlignment="1">
      <alignment horizontal="center"/>
    </xf>
    <xf numFmtId="0" fontId="0" fillId="0" borderId="1" xfId="0" applyBorder="1" applyAlignment="1">
      <alignment horizontal="left" vertical="center" wrapText="1"/>
    </xf>
    <xf numFmtId="0" fontId="0" fillId="0" borderId="1" xfId="0" applyBorder="1" applyAlignment="1">
      <alignment horizontal="left" vertical="center"/>
    </xf>
    <xf numFmtId="0" fontId="0" fillId="0" borderId="0" xfId="0"/>
    <xf numFmtId="0" fontId="7" fillId="2" borderId="1" xfId="0" applyFont="1" applyFill="1" applyBorder="1" applyAlignment="1">
      <alignment horizontal="center" vertical="center"/>
    </xf>
    <xf numFmtId="0" fontId="0" fillId="0" borderId="5" xfId="0" applyBorder="1"/>
    <xf numFmtId="0" fontId="0" fillId="0" borderId="6" xfId="0" applyBorder="1"/>
  </cellXfs>
  <cellStyles count="3">
    <cellStyle name="Normal" xfId="0" builtinId="0"/>
    <cellStyle name="Normal 2" xfId="2" xr:uid="{00000000-0005-0000-0000-000002000000}"/>
    <cellStyle name="常规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
  <sheetViews>
    <sheetView zoomScale="130" zoomScaleNormal="130" workbookViewId="0">
      <selection activeCell="D8" sqref="D8"/>
    </sheetView>
  </sheetViews>
  <sheetFormatPr defaultRowHeight="14.5"/>
  <cols>
    <col min="1" max="1" width="3.81640625" style="3" customWidth="1"/>
    <col min="2" max="2" width="7.1796875" style="3" bestFit="1" customWidth="1"/>
    <col min="3" max="3" width="9.81640625" style="3" bestFit="1" customWidth="1"/>
    <col min="4" max="4" width="77.26953125" style="5" bestFit="1" customWidth="1"/>
    <col min="7" max="10" width="8.7265625" style="1" customWidth="1"/>
  </cols>
  <sheetData>
    <row r="1" spans="1:4">
      <c r="A1" s="85" t="s">
        <v>40</v>
      </c>
      <c r="B1" s="86" t="s">
        <v>41</v>
      </c>
      <c r="C1" s="86" t="s">
        <v>42</v>
      </c>
      <c r="D1" s="87" t="s">
        <v>43</v>
      </c>
    </row>
    <row r="2" spans="1:4" ht="29.15" customHeight="1">
      <c r="A2" s="7">
        <v>1</v>
      </c>
      <c r="B2" s="7" t="s">
        <v>44</v>
      </c>
      <c r="C2" s="88">
        <v>46181</v>
      </c>
      <c r="D2" s="8" t="s">
        <v>45</v>
      </c>
    </row>
    <row r="3" spans="1:4" ht="72.650000000000006" customHeight="1">
      <c r="A3" s="7">
        <v>2</v>
      </c>
      <c r="B3" s="7" t="s">
        <v>46</v>
      </c>
      <c r="C3" s="88">
        <v>46203</v>
      </c>
      <c r="D3" s="8" t="s">
        <v>47</v>
      </c>
    </row>
    <row r="4" spans="1:4" ht="43.5" customHeight="1">
      <c r="A4" s="7">
        <v>3</v>
      </c>
      <c r="B4" s="7" t="s">
        <v>48</v>
      </c>
      <c r="C4" s="88">
        <v>46205</v>
      </c>
      <c r="D4" s="8" t="s">
        <v>49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42"/>
  <sheetViews>
    <sheetView zoomScaleNormal="100" workbookViewId="0">
      <selection activeCell="R13" sqref="R13"/>
    </sheetView>
  </sheetViews>
  <sheetFormatPr defaultRowHeight="14.5"/>
  <cols>
    <col min="1" max="1" width="12.1796875" bestFit="1" customWidth="1"/>
    <col min="2" max="2" width="30.1796875" bestFit="1" customWidth="1"/>
    <col min="3" max="3" width="10" bestFit="1" customWidth="1"/>
    <col min="4" max="5" width="10.453125" bestFit="1" customWidth="1"/>
    <col min="6" max="6" width="13.1796875" bestFit="1" customWidth="1"/>
    <col min="7" max="7" width="10.81640625" style="1" bestFit="1" customWidth="1"/>
    <col min="8" max="8" width="10.26953125" style="1" bestFit="1" customWidth="1"/>
    <col min="9" max="9" width="10.81640625" style="1" bestFit="1" customWidth="1"/>
    <col min="10" max="10" width="11.26953125" style="1" bestFit="1" customWidth="1"/>
  </cols>
  <sheetData>
    <row r="1" spans="1:10" ht="15.65" customHeight="1">
      <c r="A1" s="68"/>
      <c r="B1" s="77" t="s">
        <v>50</v>
      </c>
      <c r="C1" s="77" t="s">
        <v>51</v>
      </c>
      <c r="D1" s="77" t="s">
        <v>52</v>
      </c>
      <c r="E1" s="77" t="s">
        <v>53</v>
      </c>
      <c r="F1" s="67"/>
      <c r="G1" s="80"/>
      <c r="H1" s="80"/>
      <c r="I1" s="81"/>
      <c r="J1" s="81"/>
    </row>
    <row r="2" spans="1:10" ht="15.65" customHeight="1">
      <c r="A2" s="68" t="s">
        <v>54</v>
      </c>
      <c r="B2" s="69">
        <v>10</v>
      </c>
      <c r="C2" s="69">
        <v>15</v>
      </c>
      <c r="D2" s="69">
        <v>75</v>
      </c>
      <c r="E2" s="69">
        <v>80</v>
      </c>
      <c r="F2" s="67"/>
      <c r="G2" s="80"/>
      <c r="H2" s="80"/>
      <c r="I2" s="81"/>
      <c r="J2" s="81"/>
    </row>
    <row r="3" spans="1:10" ht="15.65" customHeight="1">
      <c r="A3" s="68" t="s">
        <v>55</v>
      </c>
      <c r="B3" s="69">
        <v>3</v>
      </c>
      <c r="C3" s="70">
        <v>3.1349999999999998</v>
      </c>
      <c r="D3" s="70">
        <v>3.4649999999999999</v>
      </c>
      <c r="E3" s="70">
        <v>3.5</v>
      </c>
      <c r="F3" s="67"/>
      <c r="G3" s="80"/>
      <c r="H3" s="80"/>
      <c r="I3" s="81"/>
      <c r="J3" s="81"/>
    </row>
    <row r="4" spans="1:10" ht="15.65" customHeight="1">
      <c r="A4" s="68" t="s">
        <v>56</v>
      </c>
      <c r="B4" s="69">
        <v>-4.2</v>
      </c>
      <c r="C4" s="69">
        <v>-3.2</v>
      </c>
      <c r="D4" s="69">
        <v>5</v>
      </c>
      <c r="E4" s="69">
        <v>6</v>
      </c>
      <c r="F4" s="67"/>
      <c r="G4" s="80"/>
      <c r="H4" s="80"/>
      <c r="I4" s="81"/>
      <c r="J4" s="81"/>
    </row>
    <row r="5" spans="1:10" ht="15.65" customHeight="1">
      <c r="A5" s="68" t="s">
        <v>57</v>
      </c>
      <c r="B5" s="71" t="s">
        <v>58</v>
      </c>
      <c r="C5" s="71" t="s">
        <v>58</v>
      </c>
      <c r="D5" s="71">
        <v>5.9</v>
      </c>
      <c r="E5" s="71">
        <v>6.2</v>
      </c>
      <c r="F5" s="109"/>
      <c r="G5" s="110"/>
      <c r="H5" s="110"/>
      <c r="I5" s="110"/>
      <c r="J5" s="110"/>
    </row>
    <row r="6" spans="1:10" ht="15.65" customHeight="1">
      <c r="A6" s="68" t="s">
        <v>59</v>
      </c>
      <c r="B6" s="71" t="s">
        <v>58</v>
      </c>
      <c r="C6" s="71" t="s">
        <v>58</v>
      </c>
      <c r="D6" s="71" t="s">
        <v>58</v>
      </c>
      <c r="E6" s="71" t="s">
        <v>58</v>
      </c>
      <c r="F6" s="67"/>
      <c r="G6" s="80"/>
      <c r="H6" s="80"/>
      <c r="I6" s="81"/>
      <c r="J6" s="81"/>
    </row>
    <row r="7" spans="1:10" ht="15.65" customHeight="1">
      <c r="A7" s="67"/>
      <c r="B7" s="67"/>
      <c r="C7" s="67"/>
      <c r="D7" s="67"/>
      <c r="E7" s="67"/>
      <c r="F7" s="67"/>
      <c r="G7" s="80"/>
      <c r="H7" s="80"/>
      <c r="I7" s="81"/>
      <c r="J7" s="81"/>
    </row>
    <row r="8" spans="1:10" ht="15.65" customHeight="1">
      <c r="A8" s="72" t="s">
        <v>60</v>
      </c>
      <c r="B8" s="89" t="s">
        <v>61</v>
      </c>
      <c r="C8" s="67"/>
      <c r="D8" s="67"/>
      <c r="E8" s="67"/>
      <c r="F8" s="67"/>
      <c r="G8" s="80"/>
      <c r="H8" s="80"/>
      <c r="I8" s="81"/>
      <c r="J8" s="81"/>
    </row>
    <row r="9" spans="1:10" ht="15.65" customHeight="1">
      <c r="A9" s="72" t="s">
        <v>62</v>
      </c>
      <c r="B9" s="89" t="s">
        <v>63</v>
      </c>
      <c r="C9" s="67"/>
      <c r="D9" s="67"/>
      <c r="E9" s="67"/>
      <c r="F9" s="67"/>
      <c r="G9" s="80"/>
      <c r="H9" s="80"/>
      <c r="I9" s="81"/>
      <c r="J9" s="81"/>
    </row>
    <row r="10" spans="1:10" ht="15.65" customHeight="1">
      <c r="A10" s="67"/>
      <c r="B10" s="67"/>
      <c r="C10" s="67"/>
      <c r="D10" s="67"/>
      <c r="E10" s="67"/>
      <c r="F10" s="67"/>
      <c r="G10" s="80"/>
      <c r="H10" s="80"/>
      <c r="I10" s="81"/>
      <c r="J10" s="81"/>
    </row>
    <row r="11" spans="1:10" ht="15.65" customHeight="1">
      <c r="A11" s="73" t="s">
        <v>64</v>
      </c>
      <c r="B11" s="73" t="s">
        <v>65</v>
      </c>
      <c r="C11" s="73" t="s">
        <v>66</v>
      </c>
      <c r="D11" s="73" t="s">
        <v>67</v>
      </c>
      <c r="E11" s="73" t="s">
        <v>68</v>
      </c>
      <c r="F11" s="73" t="s">
        <v>69</v>
      </c>
      <c r="G11" s="73" t="s">
        <v>70</v>
      </c>
      <c r="H11" s="73" t="s">
        <v>71</v>
      </c>
      <c r="I11" s="74" t="s">
        <v>72</v>
      </c>
      <c r="J11" s="74" t="s">
        <v>73</v>
      </c>
    </row>
    <row r="12" spans="1:10" ht="15.65" customHeight="1">
      <c r="A12" s="73">
        <v>4</v>
      </c>
      <c r="B12" s="75" t="s">
        <v>74</v>
      </c>
      <c r="C12" s="73" t="s">
        <v>75</v>
      </c>
      <c r="D12" s="73" t="s">
        <v>76</v>
      </c>
      <c r="E12" s="73" t="s">
        <v>77</v>
      </c>
      <c r="F12" s="73" t="s">
        <v>78</v>
      </c>
      <c r="G12" s="76" t="s">
        <v>79</v>
      </c>
      <c r="H12" s="28">
        <v>0</v>
      </c>
      <c r="I12" s="28">
        <v>85</v>
      </c>
      <c r="J12" s="28">
        <v>90</v>
      </c>
    </row>
    <row r="13" spans="1:10" ht="15.65" customHeight="1">
      <c r="A13" s="73">
        <v>5</v>
      </c>
      <c r="B13" s="75" t="s">
        <v>80</v>
      </c>
      <c r="C13" s="73" t="s">
        <v>81</v>
      </c>
      <c r="D13" s="73" t="s">
        <v>76</v>
      </c>
      <c r="E13" s="73" t="s">
        <v>82</v>
      </c>
      <c r="F13" s="73" t="s">
        <v>78</v>
      </c>
      <c r="G13" s="28" t="s">
        <v>58</v>
      </c>
      <c r="H13" s="28" t="s">
        <v>58</v>
      </c>
      <c r="I13" s="28" t="str">
        <f t="shared" ref="I13:J16" si="0">ROUND(65535/256,3) &amp; "dB"</f>
        <v>255.996dB</v>
      </c>
      <c r="J13" s="28" t="str">
        <f t="shared" si="0"/>
        <v>255.996dB</v>
      </c>
    </row>
    <row r="14" spans="1:10" ht="15.65" customHeight="1">
      <c r="A14" s="73">
        <v>6</v>
      </c>
      <c r="B14" s="75" t="s">
        <v>83</v>
      </c>
      <c r="C14" s="73" t="s">
        <v>81</v>
      </c>
      <c r="D14" s="73" t="s">
        <v>76</v>
      </c>
      <c r="E14" s="73" t="s">
        <v>82</v>
      </c>
      <c r="F14" s="73" t="s">
        <v>78</v>
      </c>
      <c r="G14" s="28" t="s">
        <v>58</v>
      </c>
      <c r="H14" s="28" t="s">
        <v>58</v>
      </c>
      <c r="I14" s="28" t="str">
        <f t="shared" si="0"/>
        <v>255.996dB</v>
      </c>
      <c r="J14" s="28" t="str">
        <f t="shared" si="0"/>
        <v>255.996dB</v>
      </c>
    </row>
    <row r="15" spans="1:10" ht="15.65" customHeight="1">
      <c r="A15" s="73">
        <v>7</v>
      </c>
      <c r="B15" s="75" t="s">
        <v>84</v>
      </c>
      <c r="C15" s="73" t="s">
        <v>81</v>
      </c>
      <c r="D15" s="73" t="s">
        <v>76</v>
      </c>
      <c r="E15" s="73" t="s">
        <v>82</v>
      </c>
      <c r="F15" s="73" t="s">
        <v>78</v>
      </c>
      <c r="G15" s="28" t="s">
        <v>58</v>
      </c>
      <c r="H15" s="28" t="s">
        <v>58</v>
      </c>
      <c r="I15" s="28" t="str">
        <f t="shared" si="0"/>
        <v>255.996dB</v>
      </c>
      <c r="J15" s="28" t="str">
        <f t="shared" si="0"/>
        <v>255.996dB</v>
      </c>
    </row>
    <row r="16" spans="1:10" ht="15.65" customHeight="1">
      <c r="A16" s="73">
        <v>8</v>
      </c>
      <c r="B16" s="75" t="s">
        <v>85</v>
      </c>
      <c r="C16" s="73" t="s">
        <v>81</v>
      </c>
      <c r="D16" s="73" t="s">
        <v>76</v>
      </c>
      <c r="E16" s="73" t="s">
        <v>82</v>
      </c>
      <c r="F16" s="73" t="s">
        <v>78</v>
      </c>
      <c r="G16" s="28" t="s">
        <v>58</v>
      </c>
      <c r="H16" s="28" t="s">
        <v>58</v>
      </c>
      <c r="I16" s="28" t="str">
        <f t="shared" si="0"/>
        <v>255.996dB</v>
      </c>
      <c r="J16" s="28" t="str">
        <f t="shared" si="0"/>
        <v>255.996dB</v>
      </c>
    </row>
    <row r="17" spans="1:10" ht="15.65" customHeight="1">
      <c r="A17" s="73">
        <v>10</v>
      </c>
      <c r="B17" s="75" t="s">
        <v>86</v>
      </c>
      <c r="C17" s="73" t="s">
        <v>87</v>
      </c>
      <c r="D17" s="73" t="s">
        <v>88</v>
      </c>
      <c r="E17" s="75"/>
      <c r="F17" s="73" t="s">
        <v>78</v>
      </c>
      <c r="G17" s="28">
        <v>0</v>
      </c>
      <c r="H17" s="28">
        <v>0</v>
      </c>
      <c r="I17" s="96">
        <v>9.9999999999999995E-8</v>
      </c>
      <c r="J17" s="96">
        <v>9.9999999999999995E-7</v>
      </c>
    </row>
    <row r="18" spans="1:10" ht="15.65" customHeight="1">
      <c r="A18" s="73">
        <v>12</v>
      </c>
      <c r="B18" s="75" t="s">
        <v>89</v>
      </c>
      <c r="C18" s="73" t="s">
        <v>87</v>
      </c>
      <c r="D18" s="73" t="s">
        <v>88</v>
      </c>
      <c r="E18" s="75"/>
      <c r="F18" s="73" t="s">
        <v>78</v>
      </c>
      <c r="G18" s="28">
        <v>0</v>
      </c>
      <c r="H18" s="28">
        <v>0</v>
      </c>
      <c r="I18" s="96">
        <v>9.9999999999999995E-8</v>
      </c>
      <c r="J18" s="96">
        <v>9.9999999999999995E-7</v>
      </c>
    </row>
    <row r="19" spans="1:10" ht="15.65" customHeight="1">
      <c r="A19" s="73">
        <v>14</v>
      </c>
      <c r="B19" s="75" t="s">
        <v>90</v>
      </c>
      <c r="C19" s="73" t="s">
        <v>87</v>
      </c>
      <c r="D19" s="73" t="s">
        <v>88</v>
      </c>
      <c r="E19" s="75"/>
      <c r="F19" s="73" t="s">
        <v>78</v>
      </c>
      <c r="G19" s="28">
        <v>0</v>
      </c>
      <c r="H19" s="28">
        <v>0</v>
      </c>
      <c r="I19" s="96">
        <v>9.9999999999999995E-8</v>
      </c>
      <c r="J19" s="96">
        <v>9.9999999999999995E-7</v>
      </c>
    </row>
    <row r="20" spans="1:10" ht="15.65" customHeight="1">
      <c r="A20" s="73">
        <v>16</v>
      </c>
      <c r="B20" s="75" t="s">
        <v>91</v>
      </c>
      <c r="C20" s="73" t="s">
        <v>87</v>
      </c>
      <c r="D20" s="73" t="s">
        <v>88</v>
      </c>
      <c r="E20" s="75"/>
      <c r="F20" s="73" t="s">
        <v>78</v>
      </c>
      <c r="G20" s="28">
        <v>0</v>
      </c>
      <c r="H20" s="28">
        <v>0</v>
      </c>
      <c r="I20" s="96">
        <v>9.9999999999999995E-8</v>
      </c>
      <c r="J20" s="96">
        <v>9.9999999999999995E-7</v>
      </c>
    </row>
    <row r="21" spans="1:10" ht="15.65" customHeight="1">
      <c r="A21" s="73">
        <v>18</v>
      </c>
      <c r="B21" s="75" t="s">
        <v>92</v>
      </c>
      <c r="C21" s="73" t="s">
        <v>87</v>
      </c>
      <c r="D21" s="73" t="s">
        <v>88</v>
      </c>
      <c r="E21" s="75"/>
      <c r="F21" s="73" t="s">
        <v>78</v>
      </c>
      <c r="G21" s="28">
        <v>0</v>
      </c>
      <c r="H21" s="28">
        <v>0</v>
      </c>
      <c r="I21" s="28">
        <v>0</v>
      </c>
      <c r="J21" s="28">
        <v>0</v>
      </c>
    </row>
    <row r="22" spans="1:10" ht="15.65" customHeight="1">
      <c r="A22" s="73">
        <v>20</v>
      </c>
      <c r="B22" s="75" t="s">
        <v>93</v>
      </c>
      <c r="C22" s="73" t="s">
        <v>87</v>
      </c>
      <c r="D22" s="73" t="s">
        <v>88</v>
      </c>
      <c r="E22" s="75"/>
      <c r="F22" s="73" t="s">
        <v>78</v>
      </c>
      <c r="G22" s="28">
        <v>0</v>
      </c>
      <c r="H22" s="28">
        <v>0</v>
      </c>
      <c r="I22" s="28">
        <v>0</v>
      </c>
      <c r="J22" s="28">
        <v>0</v>
      </c>
    </row>
    <row r="23" spans="1:10" ht="15.65" customHeight="1">
      <c r="A23" s="73">
        <v>22</v>
      </c>
      <c r="B23" s="75" t="s">
        <v>94</v>
      </c>
      <c r="C23" s="73" t="s">
        <v>87</v>
      </c>
      <c r="D23" s="73" t="s">
        <v>88</v>
      </c>
      <c r="E23" s="75"/>
      <c r="F23" s="73" t="s">
        <v>78</v>
      </c>
      <c r="G23" s="28">
        <v>0</v>
      </c>
      <c r="H23" s="28">
        <v>0</v>
      </c>
      <c r="I23" s="28">
        <v>0</v>
      </c>
      <c r="J23" s="28">
        <v>0</v>
      </c>
    </row>
    <row r="24" spans="1:10" ht="15.65" customHeight="1">
      <c r="A24" s="73">
        <v>24</v>
      </c>
      <c r="B24" s="75" t="s">
        <v>95</v>
      </c>
      <c r="C24" s="73" t="s">
        <v>87</v>
      </c>
      <c r="D24" s="73" t="s">
        <v>88</v>
      </c>
      <c r="E24" s="75"/>
      <c r="F24" s="73" t="s">
        <v>78</v>
      </c>
      <c r="G24" s="28">
        <v>0</v>
      </c>
      <c r="H24" s="28">
        <v>0</v>
      </c>
      <c r="I24" s="28">
        <v>0</v>
      </c>
      <c r="J24" s="28">
        <v>0</v>
      </c>
    </row>
    <row r="25" spans="1:10" ht="15.65" customHeight="1">
      <c r="A25" s="73">
        <v>26</v>
      </c>
      <c r="B25" s="75" t="s">
        <v>96</v>
      </c>
      <c r="C25" s="73" t="s">
        <v>87</v>
      </c>
      <c r="D25" s="73" t="s">
        <v>88</v>
      </c>
      <c r="E25" s="75"/>
      <c r="F25" s="73" t="s">
        <v>78</v>
      </c>
      <c r="G25" s="28">
        <v>0</v>
      </c>
      <c r="H25" s="28">
        <v>0</v>
      </c>
      <c r="I25" s="28">
        <v>0</v>
      </c>
      <c r="J25" s="28">
        <v>0</v>
      </c>
    </row>
    <row r="26" spans="1:10" ht="15.65" customHeight="1">
      <c r="A26" s="73">
        <v>28</v>
      </c>
      <c r="B26" s="75" t="s">
        <v>97</v>
      </c>
      <c r="C26" s="73" t="s">
        <v>81</v>
      </c>
      <c r="D26" s="73" t="s">
        <v>88</v>
      </c>
      <c r="E26" s="75"/>
      <c r="F26" s="73" t="s">
        <v>78</v>
      </c>
      <c r="G26" s="28">
        <v>0</v>
      </c>
      <c r="H26" s="28">
        <v>0</v>
      </c>
      <c r="I26" s="28">
        <v>8</v>
      </c>
      <c r="J26" s="28">
        <v>9</v>
      </c>
    </row>
    <row r="27" spans="1:10" ht="15.65" customHeight="1">
      <c r="A27" s="73">
        <v>30</v>
      </c>
      <c r="B27" s="75" t="s">
        <v>98</v>
      </c>
      <c r="C27" s="73" t="s">
        <v>81</v>
      </c>
      <c r="D27" s="73" t="s">
        <v>88</v>
      </c>
      <c r="E27" s="75"/>
      <c r="F27" s="73" t="s">
        <v>78</v>
      </c>
      <c r="G27" s="28">
        <v>0</v>
      </c>
      <c r="H27" s="28">
        <v>0</v>
      </c>
      <c r="I27" s="28">
        <v>8</v>
      </c>
      <c r="J27" s="28">
        <v>9</v>
      </c>
    </row>
    <row r="28" spans="1:10" ht="15.65" customHeight="1">
      <c r="A28" s="73">
        <v>32</v>
      </c>
      <c r="B28" s="75" t="s">
        <v>99</v>
      </c>
      <c r="C28" s="73" t="s">
        <v>81</v>
      </c>
      <c r="D28" s="73" t="s">
        <v>88</v>
      </c>
      <c r="E28" s="75"/>
      <c r="F28" s="73" t="s">
        <v>78</v>
      </c>
      <c r="G28" s="28">
        <v>0</v>
      </c>
      <c r="H28" s="28">
        <v>0</v>
      </c>
      <c r="I28" s="28">
        <v>8</v>
      </c>
      <c r="J28" s="28">
        <v>9</v>
      </c>
    </row>
    <row r="29" spans="1:10" ht="15.65" customHeight="1">
      <c r="A29" s="73">
        <v>34</v>
      </c>
      <c r="B29" s="75" t="s">
        <v>100</v>
      </c>
      <c r="C29" s="73" t="s">
        <v>81</v>
      </c>
      <c r="D29" s="73" t="s">
        <v>88</v>
      </c>
      <c r="E29" s="75"/>
      <c r="F29" s="73" t="s">
        <v>78</v>
      </c>
      <c r="G29" s="28">
        <v>0</v>
      </c>
      <c r="H29" s="28">
        <v>0</v>
      </c>
      <c r="I29" s="28">
        <v>8</v>
      </c>
      <c r="J29" s="28">
        <v>9</v>
      </c>
    </row>
    <row r="30" spans="1:10" ht="15.65" customHeight="1">
      <c r="A30" s="73">
        <v>9</v>
      </c>
      <c r="B30" s="75" t="s">
        <v>101</v>
      </c>
      <c r="C30" s="73" t="s">
        <v>87</v>
      </c>
      <c r="D30" s="73" t="s">
        <v>88</v>
      </c>
      <c r="E30" s="75"/>
      <c r="F30" s="73" t="s">
        <v>78</v>
      </c>
      <c r="G30" s="28">
        <v>0</v>
      </c>
      <c r="H30" s="28">
        <v>0</v>
      </c>
      <c r="I30" s="96">
        <v>9.9999999999999995E-8</v>
      </c>
      <c r="J30" s="96">
        <v>9.9999999999999995E-7</v>
      </c>
    </row>
    <row r="31" spans="1:10" ht="15.65" customHeight="1">
      <c r="A31" s="73">
        <v>11</v>
      </c>
      <c r="B31" s="75" t="s">
        <v>102</v>
      </c>
      <c r="C31" s="73" t="s">
        <v>87</v>
      </c>
      <c r="D31" s="73" t="s">
        <v>88</v>
      </c>
      <c r="E31" s="75"/>
      <c r="F31" s="73" t="s">
        <v>78</v>
      </c>
      <c r="G31" s="28">
        <v>0</v>
      </c>
      <c r="H31" s="28">
        <v>0</v>
      </c>
      <c r="I31" s="96">
        <v>9.9999999999999995E-8</v>
      </c>
      <c r="J31" s="96">
        <v>9.9999999999999995E-7</v>
      </c>
    </row>
    <row r="32" spans="1:10" ht="15.65" customHeight="1">
      <c r="A32" s="73">
        <v>13</v>
      </c>
      <c r="B32" s="75" t="s">
        <v>103</v>
      </c>
      <c r="C32" s="73" t="s">
        <v>87</v>
      </c>
      <c r="D32" s="73" t="s">
        <v>88</v>
      </c>
      <c r="E32" s="75"/>
      <c r="F32" s="73" t="s">
        <v>78</v>
      </c>
      <c r="G32" s="28">
        <v>0</v>
      </c>
      <c r="H32" s="28">
        <v>0</v>
      </c>
      <c r="I32" s="96">
        <v>9.9999999999999995E-8</v>
      </c>
      <c r="J32" s="96">
        <v>9.9999999999999995E-7</v>
      </c>
    </row>
    <row r="33" spans="1:10" ht="15.65" customHeight="1">
      <c r="A33" s="73">
        <v>15</v>
      </c>
      <c r="B33" s="75" t="s">
        <v>104</v>
      </c>
      <c r="C33" s="73" t="s">
        <v>87</v>
      </c>
      <c r="D33" s="73" t="s">
        <v>88</v>
      </c>
      <c r="E33" s="75"/>
      <c r="F33" s="73" t="s">
        <v>78</v>
      </c>
      <c r="G33" s="28">
        <v>0</v>
      </c>
      <c r="H33" s="28">
        <v>0</v>
      </c>
      <c r="I33" s="96">
        <v>9.9999999999999995E-8</v>
      </c>
      <c r="J33" s="96">
        <v>9.9999999999999995E-7</v>
      </c>
    </row>
    <row r="34" spans="1:10" ht="15.65" customHeight="1">
      <c r="A34" s="73">
        <v>17</v>
      </c>
      <c r="B34" s="75" t="s">
        <v>105</v>
      </c>
      <c r="C34" s="73" t="s">
        <v>87</v>
      </c>
      <c r="D34" s="73" t="s">
        <v>88</v>
      </c>
      <c r="E34" s="75"/>
      <c r="F34" s="73" t="s">
        <v>78</v>
      </c>
      <c r="G34" s="28">
        <v>0</v>
      </c>
      <c r="H34" s="28">
        <v>0</v>
      </c>
      <c r="I34" s="28">
        <v>0</v>
      </c>
      <c r="J34" s="28">
        <v>0</v>
      </c>
    </row>
    <row r="35" spans="1:10" ht="15.65" customHeight="1">
      <c r="A35" s="73">
        <v>19</v>
      </c>
      <c r="B35" s="75" t="s">
        <v>106</v>
      </c>
      <c r="C35" s="73" t="s">
        <v>87</v>
      </c>
      <c r="D35" s="73" t="s">
        <v>88</v>
      </c>
      <c r="E35" s="75"/>
      <c r="F35" s="73" t="s">
        <v>78</v>
      </c>
      <c r="G35" s="28">
        <v>0</v>
      </c>
      <c r="H35" s="28">
        <v>0</v>
      </c>
      <c r="I35" s="28">
        <v>0</v>
      </c>
      <c r="J35" s="28">
        <v>0</v>
      </c>
    </row>
    <row r="36" spans="1:10" ht="15.65" customHeight="1">
      <c r="A36" s="73">
        <v>21</v>
      </c>
      <c r="B36" s="75" t="s">
        <v>107</v>
      </c>
      <c r="C36" s="73" t="s">
        <v>87</v>
      </c>
      <c r="D36" s="73" t="s">
        <v>88</v>
      </c>
      <c r="E36" s="75"/>
      <c r="F36" s="73" t="s">
        <v>78</v>
      </c>
      <c r="G36" s="28">
        <v>0</v>
      </c>
      <c r="H36" s="28">
        <v>0</v>
      </c>
      <c r="I36" s="28">
        <v>0</v>
      </c>
      <c r="J36" s="28">
        <v>0</v>
      </c>
    </row>
    <row r="37" spans="1:10" ht="15.65" customHeight="1">
      <c r="A37" s="73">
        <v>23</v>
      </c>
      <c r="B37" s="75" t="s">
        <v>108</v>
      </c>
      <c r="C37" s="73" t="s">
        <v>87</v>
      </c>
      <c r="D37" s="73" t="s">
        <v>88</v>
      </c>
      <c r="E37" s="75"/>
      <c r="F37" s="73" t="s">
        <v>78</v>
      </c>
      <c r="G37" s="28">
        <v>0</v>
      </c>
      <c r="H37" s="28">
        <v>0</v>
      </c>
      <c r="I37" s="28">
        <v>0</v>
      </c>
      <c r="J37" s="28">
        <v>0</v>
      </c>
    </row>
    <row r="38" spans="1:10" ht="15.65" customHeight="1">
      <c r="A38" s="78">
        <v>25</v>
      </c>
      <c r="B38" s="79" t="s">
        <v>109</v>
      </c>
      <c r="C38" s="73" t="s">
        <v>87</v>
      </c>
      <c r="D38" s="73" t="s">
        <v>88</v>
      </c>
      <c r="F38" s="73" t="s">
        <v>78</v>
      </c>
      <c r="G38" s="28">
        <v>0</v>
      </c>
      <c r="H38" s="28">
        <v>0</v>
      </c>
      <c r="I38" s="28">
        <v>0</v>
      </c>
      <c r="J38" s="28">
        <v>0</v>
      </c>
    </row>
    <row r="39" spans="1:10" ht="15.65" customHeight="1">
      <c r="A39" s="73">
        <v>27</v>
      </c>
      <c r="B39" s="75" t="s">
        <v>110</v>
      </c>
      <c r="C39" s="73" t="s">
        <v>81</v>
      </c>
      <c r="D39" s="73" t="s">
        <v>88</v>
      </c>
      <c r="E39" s="75"/>
      <c r="F39" s="73" t="s">
        <v>78</v>
      </c>
      <c r="G39" s="28">
        <v>0</v>
      </c>
      <c r="H39" s="28">
        <v>0</v>
      </c>
      <c r="I39" s="28">
        <v>8</v>
      </c>
      <c r="J39" s="28">
        <v>9</v>
      </c>
    </row>
    <row r="40" spans="1:10" ht="15.65" customHeight="1">
      <c r="A40" s="73">
        <v>29</v>
      </c>
      <c r="B40" s="75" t="s">
        <v>111</v>
      </c>
      <c r="C40" s="73" t="s">
        <v>81</v>
      </c>
      <c r="D40" s="73" t="s">
        <v>88</v>
      </c>
      <c r="E40" s="75"/>
      <c r="F40" s="73" t="s">
        <v>78</v>
      </c>
      <c r="G40" s="28">
        <v>0</v>
      </c>
      <c r="H40" s="28">
        <v>0</v>
      </c>
      <c r="I40" s="28">
        <v>8</v>
      </c>
      <c r="J40" s="28">
        <v>9</v>
      </c>
    </row>
    <row r="41" spans="1:10" ht="15.65" customHeight="1">
      <c r="A41" s="73">
        <v>31</v>
      </c>
      <c r="B41" s="75" t="s">
        <v>112</v>
      </c>
      <c r="C41" s="73" t="s">
        <v>81</v>
      </c>
      <c r="D41" s="73" t="s">
        <v>88</v>
      </c>
      <c r="E41" s="75"/>
      <c r="F41" s="73" t="s">
        <v>78</v>
      </c>
      <c r="G41" s="28">
        <v>0</v>
      </c>
      <c r="H41" s="28">
        <v>0</v>
      </c>
      <c r="I41" s="28">
        <v>8</v>
      </c>
      <c r="J41" s="28">
        <v>9</v>
      </c>
    </row>
    <row r="42" spans="1:10" ht="15.65" customHeight="1">
      <c r="A42" s="73">
        <v>33</v>
      </c>
      <c r="B42" s="75" t="s">
        <v>113</v>
      </c>
      <c r="C42" s="73" t="s">
        <v>81</v>
      </c>
      <c r="D42" s="73" t="s">
        <v>88</v>
      </c>
      <c r="E42" s="75"/>
      <c r="F42" s="73" t="s">
        <v>78</v>
      </c>
      <c r="G42" s="28">
        <v>0</v>
      </c>
      <c r="H42" s="28">
        <v>0</v>
      </c>
      <c r="I42" s="28">
        <v>8</v>
      </c>
      <c r="J42" s="28">
        <v>9</v>
      </c>
    </row>
  </sheetData>
  <mergeCells count="1">
    <mergeCell ref="F5:J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tint="0.39997558519241921"/>
  </sheetPr>
  <dimension ref="A1:K181"/>
  <sheetViews>
    <sheetView zoomScale="115" zoomScaleNormal="115" workbookViewId="0">
      <pane xSplit="4" ySplit="1" topLeftCell="E57" activePane="bottomRight" state="frozen"/>
      <selection pane="topRight" activeCell="D1" sqref="D1"/>
      <selection pane="bottomLeft" activeCell="A2" sqref="A2"/>
      <selection pane="bottomRight" activeCell="G79" sqref="G79"/>
    </sheetView>
  </sheetViews>
  <sheetFormatPr defaultRowHeight="14.5"/>
  <cols>
    <col min="1" max="1" width="8.453125" style="3" bestFit="1" customWidth="1"/>
    <col min="2" max="2" width="8.453125" style="3" customWidth="1"/>
    <col min="3" max="3" width="7.81640625" style="41" bestFit="1" customWidth="1"/>
    <col min="4" max="4" width="34" style="5" bestFit="1" customWidth="1"/>
    <col min="5" max="5" width="8.54296875" style="5" bestFit="1" customWidth="1"/>
    <col min="6" max="6" width="23.54296875" style="5" customWidth="1"/>
    <col min="7" max="7" width="50.7265625" style="42" bestFit="1" customWidth="1"/>
    <col min="8" max="8" width="23.54296875" style="42" customWidth="1"/>
    <col min="9" max="9" width="58.453125" style="5" bestFit="1" customWidth="1"/>
    <col min="11" max="11" width="15" style="14" customWidth="1"/>
  </cols>
  <sheetData>
    <row r="1" spans="1:7">
      <c r="A1" s="6" t="s">
        <v>0</v>
      </c>
      <c r="B1" s="6" t="s">
        <v>1</v>
      </c>
      <c r="C1" s="39" t="s">
        <v>2</v>
      </c>
      <c r="D1" s="4" t="s">
        <v>3</v>
      </c>
      <c r="E1" s="4" t="s">
        <v>4</v>
      </c>
      <c r="F1" s="6" t="s">
        <v>5</v>
      </c>
      <c r="G1" s="4" t="s">
        <v>6</v>
      </c>
    </row>
    <row r="2" spans="1:7">
      <c r="A2" s="7">
        <v>0</v>
      </c>
      <c r="B2" s="7" t="str">
        <f>DEC2HEX(A2, 2)</f>
        <v>00</v>
      </c>
      <c r="C2" s="30" t="s">
        <v>18</v>
      </c>
      <c r="D2" s="9" t="s">
        <v>114</v>
      </c>
      <c r="E2" s="8" t="s">
        <v>115</v>
      </c>
      <c r="F2" s="48" t="s">
        <v>116</v>
      </c>
      <c r="G2" s="9" t="s">
        <v>117</v>
      </c>
    </row>
    <row r="3" spans="1:7">
      <c r="A3" s="7">
        <v>1</v>
      </c>
      <c r="B3" s="7" t="str">
        <f>DEC2HEX(A3, 2)</f>
        <v>01</v>
      </c>
      <c r="C3" s="30" t="s">
        <v>18</v>
      </c>
      <c r="D3" s="9" t="s">
        <v>118</v>
      </c>
      <c r="E3" s="8" t="s">
        <v>115</v>
      </c>
      <c r="F3" s="47" t="s">
        <v>119</v>
      </c>
      <c r="G3" s="9" t="s">
        <v>120</v>
      </c>
    </row>
    <row r="4" spans="1:7">
      <c r="A4" s="107">
        <v>2</v>
      </c>
      <c r="B4" s="107" t="str">
        <f>DEC2HEX(A4, 2)</f>
        <v>02</v>
      </c>
      <c r="C4" s="30">
        <v>7</v>
      </c>
      <c r="D4" s="9" t="s">
        <v>121</v>
      </c>
      <c r="E4" s="8" t="s">
        <v>115</v>
      </c>
      <c r="F4" s="49" t="s">
        <v>12</v>
      </c>
      <c r="G4" s="9" t="s">
        <v>122</v>
      </c>
    </row>
    <row r="5" spans="1:7">
      <c r="A5" s="105"/>
      <c r="B5" s="105"/>
      <c r="C5" s="30">
        <v>6</v>
      </c>
      <c r="D5" s="9" t="s">
        <v>123</v>
      </c>
      <c r="E5" s="8" t="s">
        <v>115</v>
      </c>
      <c r="F5" s="49" t="s">
        <v>12</v>
      </c>
      <c r="G5" s="9" t="s">
        <v>124</v>
      </c>
    </row>
    <row r="6" spans="1:7">
      <c r="A6" s="105"/>
      <c r="B6" s="105"/>
      <c r="C6" s="30" t="s">
        <v>125</v>
      </c>
      <c r="D6" s="9" t="s">
        <v>126</v>
      </c>
      <c r="E6" s="8" t="s">
        <v>115</v>
      </c>
      <c r="F6" s="50" t="s">
        <v>127</v>
      </c>
      <c r="G6" s="9"/>
    </row>
    <row r="7" spans="1:7">
      <c r="A7" s="106"/>
      <c r="B7" s="106"/>
      <c r="C7" s="30" t="s">
        <v>13</v>
      </c>
      <c r="D7" s="9" t="s">
        <v>128</v>
      </c>
      <c r="E7" s="9"/>
      <c r="F7" s="46" t="s">
        <v>32</v>
      </c>
      <c r="G7" s="9"/>
    </row>
    <row r="8" spans="1:7">
      <c r="A8" s="107">
        <v>3</v>
      </c>
      <c r="B8" s="107" t="str">
        <f>DEC2HEX(A8, 2)</f>
        <v>03</v>
      </c>
      <c r="C8" s="40" t="s">
        <v>129</v>
      </c>
      <c r="D8" s="9" t="s">
        <v>8</v>
      </c>
      <c r="E8" s="9"/>
      <c r="F8" s="46" t="s">
        <v>30</v>
      </c>
      <c r="G8" s="9"/>
    </row>
    <row r="9" spans="1:7">
      <c r="A9" s="105"/>
      <c r="B9" s="105"/>
      <c r="C9" s="40" t="s">
        <v>130</v>
      </c>
      <c r="D9" s="9" t="s">
        <v>131</v>
      </c>
      <c r="E9" s="8" t="s">
        <v>115</v>
      </c>
      <c r="F9" s="50" t="s">
        <v>132</v>
      </c>
      <c r="G9" s="9"/>
    </row>
    <row r="10" spans="1:7">
      <c r="A10" s="106"/>
      <c r="B10" s="106"/>
      <c r="C10" s="30">
        <v>0</v>
      </c>
      <c r="D10" s="9" t="s">
        <v>133</v>
      </c>
      <c r="E10" s="8" t="s">
        <v>115</v>
      </c>
      <c r="F10" s="50" t="s">
        <v>134</v>
      </c>
      <c r="G10" s="9"/>
    </row>
    <row r="11" spans="1:7">
      <c r="A11" s="107">
        <v>4</v>
      </c>
      <c r="B11" s="107" t="str">
        <f>DEC2HEX(A11, 2)</f>
        <v>04</v>
      </c>
      <c r="C11" s="40" t="s">
        <v>129</v>
      </c>
      <c r="D11" s="9" t="s">
        <v>8</v>
      </c>
      <c r="E11" s="9"/>
      <c r="F11" s="45" t="s">
        <v>30</v>
      </c>
      <c r="G11" s="9"/>
    </row>
    <row r="12" spans="1:7">
      <c r="A12" s="105"/>
      <c r="B12" s="105"/>
      <c r="C12" s="30">
        <v>3</v>
      </c>
      <c r="D12" s="9" t="s">
        <v>135</v>
      </c>
      <c r="E12" s="9" t="s">
        <v>136</v>
      </c>
      <c r="F12" s="50" t="s">
        <v>137</v>
      </c>
      <c r="G12" s="9"/>
    </row>
    <row r="13" spans="1:7">
      <c r="A13" s="105"/>
      <c r="B13" s="105"/>
      <c r="C13" s="30">
        <v>2</v>
      </c>
      <c r="D13" s="9" t="s">
        <v>138</v>
      </c>
      <c r="E13" s="9" t="s">
        <v>136</v>
      </c>
      <c r="F13" s="50" t="s">
        <v>12</v>
      </c>
      <c r="G13" s="9"/>
    </row>
    <row r="14" spans="1:7">
      <c r="A14" s="105"/>
      <c r="B14" s="105"/>
      <c r="C14" s="30">
        <v>1</v>
      </c>
      <c r="D14" s="9" t="s">
        <v>139</v>
      </c>
      <c r="E14" s="9" t="s">
        <v>136</v>
      </c>
      <c r="F14" s="50" t="s">
        <v>12</v>
      </c>
      <c r="G14" s="9"/>
    </row>
    <row r="15" spans="1:7">
      <c r="A15" s="106"/>
      <c r="B15" s="106"/>
      <c r="C15" s="30">
        <v>0</v>
      </c>
      <c r="D15" s="9" t="s">
        <v>140</v>
      </c>
      <c r="E15" s="9" t="s">
        <v>115</v>
      </c>
      <c r="F15" s="50" t="s">
        <v>141</v>
      </c>
      <c r="G15" s="9"/>
    </row>
    <row r="16" spans="1:7">
      <c r="A16" s="107">
        <v>5</v>
      </c>
      <c r="B16" s="107" t="str">
        <f>DEC2HEX(A16, 2)</f>
        <v>05</v>
      </c>
      <c r="C16" s="40" t="s">
        <v>129</v>
      </c>
      <c r="D16" s="9" t="s">
        <v>8</v>
      </c>
      <c r="E16" s="9"/>
      <c r="F16" s="46" t="s">
        <v>30</v>
      </c>
      <c r="G16" s="9"/>
    </row>
    <row r="17" spans="1:7">
      <c r="A17" s="105"/>
      <c r="B17" s="105"/>
      <c r="C17" s="30">
        <v>3</v>
      </c>
      <c r="D17" s="9" t="s">
        <v>142</v>
      </c>
      <c r="E17" s="9" t="s">
        <v>136</v>
      </c>
      <c r="F17" s="46" t="s">
        <v>12</v>
      </c>
      <c r="G17" s="9"/>
    </row>
    <row r="18" spans="1:7">
      <c r="A18" s="105"/>
      <c r="B18" s="105"/>
      <c r="C18" s="30">
        <v>2</v>
      </c>
      <c r="D18" s="9" t="s">
        <v>143</v>
      </c>
      <c r="E18" s="9" t="s">
        <v>136</v>
      </c>
      <c r="F18" s="46" t="s">
        <v>12</v>
      </c>
      <c r="G18" s="9"/>
    </row>
    <row r="19" spans="1:7">
      <c r="A19" s="105"/>
      <c r="B19" s="105"/>
      <c r="C19" s="30">
        <v>1</v>
      </c>
      <c r="D19" s="9" t="s">
        <v>144</v>
      </c>
      <c r="E19" s="9" t="s">
        <v>136</v>
      </c>
      <c r="F19" s="46" t="s">
        <v>12</v>
      </c>
      <c r="G19" s="9"/>
    </row>
    <row r="20" spans="1:7">
      <c r="A20" s="106"/>
      <c r="B20" s="106"/>
      <c r="C20" s="30">
        <v>0</v>
      </c>
      <c r="D20" s="9" t="s">
        <v>145</v>
      </c>
      <c r="E20" s="9" t="s">
        <v>136</v>
      </c>
      <c r="F20" s="46" t="s">
        <v>146</v>
      </c>
      <c r="G20" s="9"/>
    </row>
    <row r="21" spans="1:7">
      <c r="A21" s="107">
        <v>6</v>
      </c>
      <c r="B21" s="107" t="str">
        <f>DEC2HEX(A21, 2)</f>
        <v>06</v>
      </c>
      <c r="C21" s="40" t="s">
        <v>129</v>
      </c>
      <c r="D21" s="9" t="s">
        <v>8</v>
      </c>
      <c r="E21" s="9"/>
      <c r="F21" s="46" t="s">
        <v>30</v>
      </c>
      <c r="G21" s="9"/>
    </row>
    <row r="22" spans="1:7">
      <c r="A22" s="105"/>
      <c r="B22" s="105"/>
      <c r="C22" s="30">
        <v>3</v>
      </c>
      <c r="D22" s="9" t="s">
        <v>147</v>
      </c>
      <c r="E22" s="9" t="s">
        <v>136</v>
      </c>
      <c r="F22" s="46" t="s">
        <v>12</v>
      </c>
      <c r="G22" s="9"/>
    </row>
    <row r="23" spans="1:7">
      <c r="A23" s="105"/>
      <c r="B23" s="105"/>
      <c r="C23" s="30">
        <v>2</v>
      </c>
      <c r="D23" s="9" t="s">
        <v>148</v>
      </c>
      <c r="E23" s="9" t="s">
        <v>136</v>
      </c>
      <c r="F23" s="46" t="s">
        <v>12</v>
      </c>
      <c r="G23" s="9"/>
    </row>
    <row r="24" spans="1:7">
      <c r="A24" s="105"/>
      <c r="B24" s="105"/>
      <c r="C24" s="30">
        <v>1</v>
      </c>
      <c r="D24" s="9" t="s">
        <v>149</v>
      </c>
      <c r="E24" s="9" t="s">
        <v>136</v>
      </c>
      <c r="F24" s="46" t="s">
        <v>12</v>
      </c>
      <c r="G24" s="9"/>
    </row>
    <row r="25" spans="1:7">
      <c r="A25" s="106"/>
      <c r="B25" s="106"/>
      <c r="C25" s="30">
        <v>0</v>
      </c>
      <c r="D25" s="9" t="s">
        <v>150</v>
      </c>
      <c r="E25" s="9" t="s">
        <v>136</v>
      </c>
      <c r="F25" s="46" t="s">
        <v>146</v>
      </c>
      <c r="G25" s="9"/>
    </row>
    <row r="26" spans="1:7">
      <c r="A26" s="107">
        <v>7</v>
      </c>
      <c r="B26" s="107" t="str">
        <f>DEC2HEX(A26, 2)</f>
        <v>07</v>
      </c>
      <c r="C26" s="40" t="s">
        <v>129</v>
      </c>
      <c r="D26" s="9" t="s">
        <v>8</v>
      </c>
      <c r="E26" s="9"/>
      <c r="F26" s="46" t="s">
        <v>30</v>
      </c>
      <c r="G26" s="9"/>
    </row>
    <row r="27" spans="1:7">
      <c r="A27" s="105"/>
      <c r="B27" s="105"/>
      <c r="C27" s="30">
        <v>3</v>
      </c>
      <c r="D27" s="9" t="s">
        <v>151</v>
      </c>
      <c r="E27" s="9" t="s">
        <v>136</v>
      </c>
      <c r="F27" s="46" t="s">
        <v>12</v>
      </c>
      <c r="G27" s="9"/>
    </row>
    <row r="28" spans="1:7">
      <c r="A28" s="105"/>
      <c r="B28" s="105"/>
      <c r="C28" s="30">
        <v>2</v>
      </c>
      <c r="D28" s="9" t="s">
        <v>152</v>
      </c>
      <c r="E28" s="9" t="s">
        <v>136</v>
      </c>
      <c r="F28" s="46" t="s">
        <v>12</v>
      </c>
      <c r="G28" s="9"/>
    </row>
    <row r="29" spans="1:7">
      <c r="A29" s="105"/>
      <c r="B29" s="105"/>
      <c r="C29" s="30">
        <v>1</v>
      </c>
      <c r="D29" s="9" t="s">
        <v>153</v>
      </c>
      <c r="E29" s="9" t="s">
        <v>136</v>
      </c>
      <c r="F29" s="46" t="s">
        <v>12</v>
      </c>
      <c r="G29" s="9"/>
    </row>
    <row r="30" spans="1:7">
      <c r="A30" s="106"/>
      <c r="B30" s="106"/>
      <c r="C30" s="30">
        <v>0</v>
      </c>
      <c r="D30" s="9" t="s">
        <v>154</v>
      </c>
      <c r="E30" s="9" t="s">
        <v>136</v>
      </c>
      <c r="F30" s="46" t="s">
        <v>146</v>
      </c>
      <c r="G30" s="9"/>
    </row>
    <row r="31" spans="1:7" ht="29.15" customHeight="1">
      <c r="A31" s="107">
        <v>8</v>
      </c>
      <c r="B31" s="107" t="str">
        <f>DEC2HEX(A31, 2)</f>
        <v>08</v>
      </c>
      <c r="C31" s="30">
        <v>7</v>
      </c>
      <c r="D31" s="9" t="s">
        <v>155</v>
      </c>
      <c r="E31" s="8" t="s">
        <v>156</v>
      </c>
      <c r="F31" s="50" t="s">
        <v>12</v>
      </c>
      <c r="G31" s="9"/>
    </row>
    <row r="32" spans="1:7" ht="29.15" customHeight="1">
      <c r="A32" s="105"/>
      <c r="B32" s="105"/>
      <c r="C32" s="30">
        <v>6</v>
      </c>
      <c r="D32" s="9" t="s">
        <v>157</v>
      </c>
      <c r="E32" s="8" t="s">
        <v>156</v>
      </c>
      <c r="F32" s="50" t="s">
        <v>12</v>
      </c>
      <c r="G32" s="9"/>
    </row>
    <row r="33" spans="1:7">
      <c r="A33" s="105"/>
      <c r="B33" s="105"/>
      <c r="C33" s="40" t="s">
        <v>158</v>
      </c>
      <c r="D33" s="9" t="s">
        <v>8</v>
      </c>
      <c r="E33" s="9" t="s">
        <v>159</v>
      </c>
      <c r="F33" s="46" t="s">
        <v>160</v>
      </c>
      <c r="G33" s="9"/>
    </row>
    <row r="34" spans="1:7" ht="29.15" customHeight="1">
      <c r="A34" s="105"/>
      <c r="B34" s="105"/>
      <c r="C34" s="30">
        <v>2</v>
      </c>
      <c r="D34" s="9" t="s">
        <v>161</v>
      </c>
      <c r="E34" s="8" t="s">
        <v>156</v>
      </c>
      <c r="F34" s="50" t="s">
        <v>12</v>
      </c>
      <c r="G34" s="9"/>
    </row>
    <row r="35" spans="1:7" ht="29.15" customHeight="1">
      <c r="A35" s="105"/>
      <c r="B35" s="105"/>
      <c r="C35" s="30">
        <v>1</v>
      </c>
      <c r="D35" s="9" t="s">
        <v>162</v>
      </c>
      <c r="E35" s="8" t="s">
        <v>156</v>
      </c>
      <c r="F35" s="50" t="s">
        <v>12</v>
      </c>
      <c r="G35" s="9"/>
    </row>
    <row r="36" spans="1:7" ht="29.15" customHeight="1">
      <c r="A36" s="106"/>
      <c r="B36" s="106"/>
      <c r="C36" s="30">
        <v>0</v>
      </c>
      <c r="D36" s="9" t="s">
        <v>163</v>
      </c>
      <c r="E36" s="8" t="s">
        <v>164</v>
      </c>
      <c r="F36" s="50" t="s">
        <v>146</v>
      </c>
      <c r="G36" s="9"/>
    </row>
    <row r="37" spans="1:7" ht="14.5" customHeight="1">
      <c r="A37" s="107">
        <v>9</v>
      </c>
      <c r="B37" s="107" t="str">
        <f>DEC2HEX(A37, 2)</f>
        <v>09</v>
      </c>
      <c r="C37" s="30">
        <v>7</v>
      </c>
      <c r="D37" s="9" t="s">
        <v>165</v>
      </c>
      <c r="E37" s="111" t="s">
        <v>156</v>
      </c>
      <c r="F37" s="50" t="s">
        <v>12</v>
      </c>
      <c r="G37" s="9"/>
    </row>
    <row r="38" spans="1:7">
      <c r="A38" s="105"/>
      <c r="B38" s="105"/>
      <c r="C38" s="30">
        <v>6</v>
      </c>
      <c r="D38" s="9" t="s">
        <v>166</v>
      </c>
      <c r="E38" s="105"/>
      <c r="F38" s="50" t="s">
        <v>12</v>
      </c>
      <c r="G38" s="9"/>
    </row>
    <row r="39" spans="1:7">
      <c r="A39" s="105"/>
      <c r="B39" s="105"/>
      <c r="C39" s="30">
        <v>5</v>
      </c>
      <c r="D39" s="9" t="s">
        <v>167</v>
      </c>
      <c r="E39" s="105"/>
      <c r="F39" s="50" t="s">
        <v>12</v>
      </c>
      <c r="G39" s="9"/>
    </row>
    <row r="40" spans="1:7">
      <c r="A40" s="105"/>
      <c r="B40" s="105"/>
      <c r="C40" s="30">
        <v>4</v>
      </c>
      <c r="D40" s="9" t="s">
        <v>168</v>
      </c>
      <c r="E40" s="105"/>
      <c r="F40" s="50" t="s">
        <v>12</v>
      </c>
      <c r="G40" s="9"/>
    </row>
    <row r="41" spans="1:7">
      <c r="A41" s="105"/>
      <c r="B41" s="105"/>
      <c r="C41" s="30">
        <v>3</v>
      </c>
      <c r="D41" s="9" t="s">
        <v>169</v>
      </c>
      <c r="E41" s="105"/>
      <c r="F41" s="50" t="s">
        <v>12</v>
      </c>
      <c r="G41" s="9"/>
    </row>
    <row r="42" spans="1:7">
      <c r="A42" s="105"/>
      <c r="B42" s="105"/>
      <c r="C42" s="30">
        <v>2</v>
      </c>
      <c r="D42" s="9" t="s">
        <v>170</v>
      </c>
      <c r="E42" s="105"/>
      <c r="F42" s="50" t="s">
        <v>12</v>
      </c>
      <c r="G42" s="9"/>
    </row>
    <row r="43" spans="1:7">
      <c r="A43" s="105"/>
      <c r="B43" s="105"/>
      <c r="C43" s="30">
        <v>1</v>
      </c>
      <c r="D43" s="9" t="s">
        <v>171</v>
      </c>
      <c r="E43" s="105"/>
      <c r="F43" s="50" t="s">
        <v>12</v>
      </c>
      <c r="G43" s="9"/>
    </row>
    <row r="44" spans="1:7">
      <c r="A44" s="106"/>
      <c r="B44" s="106"/>
      <c r="C44" s="30">
        <v>0</v>
      </c>
      <c r="D44" s="9" t="s">
        <v>172</v>
      </c>
      <c r="E44" s="106"/>
      <c r="F44" s="50" t="s">
        <v>146</v>
      </c>
      <c r="G44" s="9"/>
    </row>
    <row r="45" spans="1:7" ht="14.5" customHeight="1">
      <c r="A45" s="107">
        <v>10</v>
      </c>
      <c r="B45" s="107" t="str">
        <f>DEC2HEX(A45, 2)</f>
        <v>0A</v>
      </c>
      <c r="C45" s="30">
        <v>7</v>
      </c>
      <c r="D45" s="9" t="s">
        <v>173</v>
      </c>
      <c r="E45" s="111" t="s">
        <v>156</v>
      </c>
      <c r="F45" s="50" t="s">
        <v>12</v>
      </c>
      <c r="G45" s="9"/>
    </row>
    <row r="46" spans="1:7">
      <c r="A46" s="105"/>
      <c r="B46" s="105"/>
      <c r="C46" s="30">
        <v>6</v>
      </c>
      <c r="D46" s="9" t="s">
        <v>174</v>
      </c>
      <c r="E46" s="105"/>
      <c r="F46" s="50" t="s">
        <v>12</v>
      </c>
      <c r="G46" s="9"/>
    </row>
    <row r="47" spans="1:7">
      <c r="A47" s="105"/>
      <c r="B47" s="105"/>
      <c r="C47" s="30">
        <v>5</v>
      </c>
      <c r="D47" s="9" t="s">
        <v>175</v>
      </c>
      <c r="E47" s="105"/>
      <c r="F47" s="50" t="s">
        <v>12</v>
      </c>
      <c r="G47" s="9"/>
    </row>
    <row r="48" spans="1:7">
      <c r="A48" s="105"/>
      <c r="B48" s="105"/>
      <c r="C48" s="30">
        <v>4</v>
      </c>
      <c r="D48" s="9" t="s">
        <v>176</v>
      </c>
      <c r="E48" s="105"/>
      <c r="F48" s="50" t="s">
        <v>12</v>
      </c>
      <c r="G48" s="9"/>
    </row>
    <row r="49" spans="1:7">
      <c r="A49" s="105"/>
      <c r="B49" s="105"/>
      <c r="C49" s="30">
        <v>3</v>
      </c>
      <c r="D49" s="9" t="s">
        <v>177</v>
      </c>
      <c r="E49" s="105"/>
      <c r="F49" s="50" t="s">
        <v>12</v>
      </c>
      <c r="G49" s="9"/>
    </row>
    <row r="50" spans="1:7">
      <c r="A50" s="105"/>
      <c r="B50" s="105"/>
      <c r="C50" s="30">
        <v>2</v>
      </c>
      <c r="D50" s="9" t="s">
        <v>178</v>
      </c>
      <c r="E50" s="105"/>
      <c r="F50" s="50" t="s">
        <v>12</v>
      </c>
      <c r="G50" s="9"/>
    </row>
    <row r="51" spans="1:7">
      <c r="A51" s="105"/>
      <c r="B51" s="105"/>
      <c r="C51" s="30">
        <v>1</v>
      </c>
      <c r="D51" s="9" t="s">
        <v>179</v>
      </c>
      <c r="E51" s="105"/>
      <c r="F51" s="50" t="s">
        <v>12</v>
      </c>
      <c r="G51" s="9"/>
    </row>
    <row r="52" spans="1:7">
      <c r="A52" s="106"/>
      <c r="B52" s="106"/>
      <c r="C52" s="30">
        <v>0</v>
      </c>
      <c r="D52" s="9" t="s">
        <v>180</v>
      </c>
      <c r="E52" s="106"/>
      <c r="F52" s="50" t="s">
        <v>146</v>
      </c>
      <c r="G52" s="9"/>
    </row>
    <row r="53" spans="1:7" ht="14.5" customHeight="1">
      <c r="A53" s="107">
        <v>11</v>
      </c>
      <c r="B53" s="107" t="str">
        <f>DEC2HEX(A53, 2)</f>
        <v>0B</v>
      </c>
      <c r="C53" s="30">
        <v>7</v>
      </c>
      <c r="D53" s="9" t="s">
        <v>181</v>
      </c>
      <c r="E53" s="111" t="s">
        <v>156</v>
      </c>
      <c r="F53" s="50" t="s">
        <v>12</v>
      </c>
      <c r="G53" s="9"/>
    </row>
    <row r="54" spans="1:7">
      <c r="A54" s="105"/>
      <c r="B54" s="105"/>
      <c r="C54" s="30">
        <v>6</v>
      </c>
      <c r="D54" s="9" t="s">
        <v>182</v>
      </c>
      <c r="E54" s="105"/>
      <c r="F54" s="50" t="s">
        <v>137</v>
      </c>
      <c r="G54" s="9"/>
    </row>
    <row r="55" spans="1:7">
      <c r="A55" s="105"/>
      <c r="B55" s="105"/>
      <c r="C55" s="30">
        <v>5</v>
      </c>
      <c r="D55" s="9" t="s">
        <v>183</v>
      </c>
      <c r="E55" s="105"/>
      <c r="F55" s="50" t="s">
        <v>12</v>
      </c>
      <c r="G55" s="9"/>
    </row>
    <row r="56" spans="1:7">
      <c r="A56" s="105"/>
      <c r="B56" s="105"/>
      <c r="C56" s="30">
        <v>4</v>
      </c>
      <c r="D56" s="9" t="s">
        <v>184</v>
      </c>
      <c r="E56" s="105"/>
      <c r="F56" s="50" t="s">
        <v>12</v>
      </c>
      <c r="G56" s="9"/>
    </row>
    <row r="57" spans="1:7">
      <c r="A57" s="105"/>
      <c r="B57" s="105"/>
      <c r="C57" s="30">
        <v>3</v>
      </c>
      <c r="D57" s="9" t="s">
        <v>185</v>
      </c>
      <c r="E57" s="105"/>
      <c r="F57" s="50" t="s">
        <v>12</v>
      </c>
      <c r="G57" s="9"/>
    </row>
    <row r="58" spans="1:7">
      <c r="A58" s="105"/>
      <c r="B58" s="105"/>
      <c r="C58" s="30">
        <v>2</v>
      </c>
      <c r="D58" s="9" t="s">
        <v>186</v>
      </c>
      <c r="E58" s="105"/>
      <c r="F58" s="50" t="s">
        <v>12</v>
      </c>
      <c r="G58" s="9"/>
    </row>
    <row r="59" spans="1:7">
      <c r="A59" s="105"/>
      <c r="B59" s="105"/>
      <c r="C59" s="30">
        <v>1</v>
      </c>
      <c r="D59" s="9" t="s">
        <v>187</v>
      </c>
      <c r="E59" s="105"/>
      <c r="F59" s="50" t="s">
        <v>12</v>
      </c>
      <c r="G59" s="9"/>
    </row>
    <row r="60" spans="1:7">
      <c r="A60" s="106"/>
      <c r="B60" s="106"/>
      <c r="C60" s="30">
        <v>0</v>
      </c>
      <c r="D60" s="9" t="s">
        <v>188</v>
      </c>
      <c r="E60" s="106"/>
      <c r="F60" s="50" t="s">
        <v>189</v>
      </c>
      <c r="G60" s="9"/>
    </row>
    <row r="61" spans="1:7">
      <c r="A61" s="7">
        <v>12</v>
      </c>
      <c r="B61" s="7" t="str">
        <f>DEC2HEX(A61, 2)</f>
        <v>0C</v>
      </c>
      <c r="C61" s="30" t="s">
        <v>18</v>
      </c>
      <c r="D61" s="9" t="s">
        <v>190</v>
      </c>
      <c r="E61" s="9"/>
      <c r="F61" s="46" t="s">
        <v>146</v>
      </c>
      <c r="G61" s="9"/>
    </row>
    <row r="62" spans="1:7">
      <c r="A62" s="7">
        <v>13</v>
      </c>
      <c r="B62" s="7" t="str">
        <f>DEC2HEX(A62, 2)</f>
        <v>0D</v>
      </c>
      <c r="C62" s="30" t="s">
        <v>18</v>
      </c>
      <c r="D62" s="9" t="s">
        <v>191</v>
      </c>
      <c r="E62" s="9"/>
      <c r="F62" s="46" t="s">
        <v>146</v>
      </c>
      <c r="G62" s="9"/>
    </row>
    <row r="63" spans="1:7">
      <c r="A63" s="7" t="s">
        <v>192</v>
      </c>
      <c r="B63" s="18" t="s">
        <v>193</v>
      </c>
      <c r="C63" s="30" t="s">
        <v>18</v>
      </c>
      <c r="D63" s="9" t="s">
        <v>194</v>
      </c>
      <c r="E63" s="9" t="s">
        <v>136</v>
      </c>
      <c r="F63" s="46" t="s">
        <v>195</v>
      </c>
      <c r="G63" s="9"/>
    </row>
    <row r="64" spans="1:7">
      <c r="A64" s="7" t="s">
        <v>196</v>
      </c>
      <c r="B64" s="17" t="s">
        <v>197</v>
      </c>
      <c r="C64" s="30" t="s">
        <v>18</v>
      </c>
      <c r="D64" s="9" t="s">
        <v>198</v>
      </c>
      <c r="E64" s="9" t="s">
        <v>136</v>
      </c>
      <c r="F64" s="46" t="s">
        <v>199</v>
      </c>
      <c r="G64" s="9"/>
    </row>
    <row r="65" spans="1:7">
      <c r="A65" s="7" t="s">
        <v>200</v>
      </c>
      <c r="B65" s="18" t="s">
        <v>201</v>
      </c>
      <c r="C65" s="30" t="s">
        <v>18</v>
      </c>
      <c r="D65" s="9" t="s">
        <v>202</v>
      </c>
      <c r="E65" s="9" t="s">
        <v>136</v>
      </c>
      <c r="F65" s="46" t="s">
        <v>203</v>
      </c>
      <c r="G65" s="9"/>
    </row>
    <row r="66" spans="1:7">
      <c r="A66" s="7" t="s">
        <v>204</v>
      </c>
      <c r="B66" s="18" t="s">
        <v>192</v>
      </c>
      <c r="C66" s="30" t="s">
        <v>18</v>
      </c>
      <c r="D66" s="9" t="s">
        <v>205</v>
      </c>
      <c r="E66" s="9" t="s">
        <v>136</v>
      </c>
      <c r="F66" s="46" t="s">
        <v>206</v>
      </c>
      <c r="G66" s="9"/>
    </row>
    <row r="67" spans="1:7">
      <c r="A67" s="7" t="s">
        <v>207</v>
      </c>
      <c r="B67" s="18" t="s">
        <v>196</v>
      </c>
      <c r="C67" s="30" t="s">
        <v>18</v>
      </c>
      <c r="D67" s="9" t="s">
        <v>208</v>
      </c>
      <c r="E67" s="9" t="s">
        <v>136</v>
      </c>
      <c r="F67" s="46" t="s">
        <v>209</v>
      </c>
      <c r="G67" s="9"/>
    </row>
    <row r="68" spans="1:7" ht="43.5" customHeight="1">
      <c r="A68" s="90" t="s">
        <v>210</v>
      </c>
      <c r="B68" s="91" t="s">
        <v>200</v>
      </c>
      <c r="C68" s="92" t="s">
        <v>18</v>
      </c>
      <c r="D68" s="93" t="s">
        <v>211</v>
      </c>
      <c r="E68" s="93" t="s">
        <v>136</v>
      </c>
      <c r="F68" s="90" t="s">
        <v>212</v>
      </c>
      <c r="G68" s="94" t="s">
        <v>213</v>
      </c>
    </row>
    <row r="69" spans="1:7">
      <c r="A69" s="107">
        <v>26</v>
      </c>
      <c r="B69" s="107" t="str">
        <f>DEC2HEX(A69, 2)</f>
        <v>1A</v>
      </c>
      <c r="C69" s="30">
        <v>7</v>
      </c>
      <c r="D69" s="9" t="s">
        <v>214</v>
      </c>
      <c r="E69" s="8" t="s">
        <v>27</v>
      </c>
      <c r="F69" s="46" t="s">
        <v>12</v>
      </c>
      <c r="G69" s="9" t="s">
        <v>215</v>
      </c>
    </row>
    <row r="70" spans="1:7">
      <c r="A70" s="105"/>
      <c r="B70" s="105"/>
      <c r="C70" s="30">
        <v>6</v>
      </c>
      <c r="D70" s="9" t="s">
        <v>216</v>
      </c>
      <c r="E70" s="8" t="s">
        <v>217</v>
      </c>
      <c r="F70" s="46" t="s">
        <v>12</v>
      </c>
      <c r="G70" s="9" t="s">
        <v>218</v>
      </c>
    </row>
    <row r="71" spans="1:7">
      <c r="A71" s="105"/>
      <c r="B71" s="105"/>
      <c r="C71" s="30">
        <v>5</v>
      </c>
      <c r="D71" s="9" t="s">
        <v>219</v>
      </c>
      <c r="E71" s="8" t="s">
        <v>27</v>
      </c>
      <c r="F71" s="50" t="s">
        <v>137</v>
      </c>
      <c r="G71" s="9" t="s">
        <v>220</v>
      </c>
    </row>
    <row r="72" spans="1:7">
      <c r="A72" s="105"/>
      <c r="B72" s="105"/>
      <c r="C72" s="30">
        <v>4</v>
      </c>
      <c r="D72" s="9" t="s">
        <v>221</v>
      </c>
      <c r="E72" s="8" t="s">
        <v>217</v>
      </c>
      <c r="F72" s="46" t="s">
        <v>12</v>
      </c>
      <c r="G72" s="9" t="s">
        <v>222</v>
      </c>
    </row>
    <row r="73" spans="1:7" ht="29.15" customHeight="1">
      <c r="A73" s="105"/>
      <c r="B73" s="105"/>
      <c r="C73" s="30">
        <v>3</v>
      </c>
      <c r="D73" s="9" t="s">
        <v>223</v>
      </c>
      <c r="E73" s="8" t="s">
        <v>224</v>
      </c>
      <c r="F73" s="46" t="s">
        <v>12</v>
      </c>
      <c r="G73" s="9"/>
    </row>
    <row r="74" spans="1:7">
      <c r="A74" s="106"/>
      <c r="B74" s="106"/>
      <c r="C74" s="30" t="s">
        <v>225</v>
      </c>
      <c r="D74" s="9" t="s">
        <v>226</v>
      </c>
      <c r="E74" s="9"/>
      <c r="F74" s="46" t="s">
        <v>160</v>
      </c>
      <c r="G74" s="9"/>
    </row>
    <row r="75" spans="1:7">
      <c r="A75" s="107">
        <v>27</v>
      </c>
      <c r="B75" s="108" t="str">
        <f>DEC2HEX(A75, 2)</f>
        <v>1B</v>
      </c>
      <c r="C75" s="30" t="s">
        <v>129</v>
      </c>
      <c r="D75" s="9" t="s">
        <v>8</v>
      </c>
      <c r="E75" s="9"/>
      <c r="F75" s="46" t="s">
        <v>30</v>
      </c>
      <c r="G75" s="9"/>
    </row>
    <row r="76" spans="1:7">
      <c r="A76" s="106"/>
      <c r="B76" s="106"/>
      <c r="C76" s="30" t="s">
        <v>227</v>
      </c>
      <c r="D76" s="9" t="s">
        <v>228</v>
      </c>
      <c r="E76" s="9"/>
      <c r="F76" s="46" t="s">
        <v>30</v>
      </c>
      <c r="G76" s="9"/>
    </row>
    <row r="77" spans="1:7">
      <c r="A77" s="7">
        <v>28</v>
      </c>
      <c r="B77" s="18" t="str">
        <f>DEC2HEX(A77, 2)</f>
        <v>1C</v>
      </c>
      <c r="C77" s="30" t="s">
        <v>18</v>
      </c>
      <c r="D77" s="9" t="s">
        <v>190</v>
      </c>
      <c r="E77" s="9"/>
      <c r="F77" s="46" t="s">
        <v>146</v>
      </c>
      <c r="G77" s="9"/>
    </row>
    <row r="78" spans="1:7">
      <c r="A78" s="7" t="s">
        <v>229</v>
      </c>
      <c r="B78" s="18" t="s">
        <v>230</v>
      </c>
      <c r="C78" s="30" t="s">
        <v>18</v>
      </c>
      <c r="D78" s="9" t="s">
        <v>231</v>
      </c>
      <c r="E78" s="9"/>
      <c r="F78" s="46" t="s">
        <v>232</v>
      </c>
      <c r="G78" s="9"/>
    </row>
    <row r="79" spans="1:7">
      <c r="A79" s="107">
        <v>31</v>
      </c>
      <c r="B79" s="107" t="str">
        <f>DEC2HEX(A79, 2)</f>
        <v>1F</v>
      </c>
      <c r="C79" s="30">
        <v>7</v>
      </c>
      <c r="D79" s="9" t="s">
        <v>233</v>
      </c>
      <c r="E79" s="9" t="s">
        <v>27</v>
      </c>
      <c r="F79" s="46" t="s">
        <v>137</v>
      </c>
      <c r="G79" s="9"/>
    </row>
    <row r="80" spans="1:7">
      <c r="A80" s="105"/>
      <c r="B80" s="105"/>
      <c r="C80" s="30">
        <v>6</v>
      </c>
      <c r="D80" s="9" t="s">
        <v>234</v>
      </c>
      <c r="E80" s="9" t="s">
        <v>27</v>
      </c>
      <c r="F80" s="46" t="s">
        <v>137</v>
      </c>
      <c r="G80" s="9"/>
    </row>
    <row r="81" spans="1:7">
      <c r="A81" s="105"/>
      <c r="B81" s="105"/>
      <c r="C81" s="40" t="s">
        <v>158</v>
      </c>
      <c r="D81" s="9" t="s">
        <v>8</v>
      </c>
      <c r="E81" s="9"/>
      <c r="F81" s="46" t="s">
        <v>160</v>
      </c>
      <c r="G81" s="9"/>
    </row>
    <row r="82" spans="1:7">
      <c r="A82" s="105"/>
      <c r="B82" s="105"/>
      <c r="C82" s="30">
        <v>2</v>
      </c>
      <c r="D82" s="9" t="s">
        <v>235</v>
      </c>
      <c r="E82" s="9" t="s">
        <v>27</v>
      </c>
      <c r="F82" s="46" t="s">
        <v>137</v>
      </c>
      <c r="G82" s="9"/>
    </row>
    <row r="83" spans="1:7">
      <c r="A83" s="105"/>
      <c r="B83" s="105"/>
      <c r="C83" s="30">
        <v>1</v>
      </c>
      <c r="D83" s="9" t="s">
        <v>236</v>
      </c>
      <c r="E83" s="9" t="s">
        <v>27</v>
      </c>
      <c r="F83" s="46" t="s">
        <v>137</v>
      </c>
      <c r="G83" s="9"/>
    </row>
    <row r="84" spans="1:7">
      <c r="A84" s="106"/>
      <c r="B84" s="106"/>
      <c r="C84" s="30">
        <v>0</v>
      </c>
      <c r="D84" s="9" t="s">
        <v>237</v>
      </c>
      <c r="E84" s="9" t="s">
        <v>217</v>
      </c>
      <c r="F84" s="46" t="s">
        <v>238</v>
      </c>
      <c r="G84" s="9"/>
    </row>
    <row r="85" spans="1:7">
      <c r="A85" s="107">
        <v>32</v>
      </c>
      <c r="B85" s="107" t="str">
        <f>DEC2HEX(A85, 2)</f>
        <v>20</v>
      </c>
      <c r="C85" s="30">
        <v>7</v>
      </c>
      <c r="D85" s="9" t="s">
        <v>239</v>
      </c>
      <c r="E85" s="112" t="s">
        <v>27</v>
      </c>
      <c r="F85" s="46" t="s">
        <v>137</v>
      </c>
      <c r="G85" s="9"/>
    </row>
    <row r="86" spans="1:7">
      <c r="A86" s="105"/>
      <c r="B86" s="105"/>
      <c r="C86" s="30">
        <v>6</v>
      </c>
      <c r="D86" s="9" t="s">
        <v>240</v>
      </c>
      <c r="E86" s="105"/>
      <c r="F86" s="46" t="s">
        <v>137</v>
      </c>
      <c r="G86" s="9"/>
    </row>
    <row r="87" spans="1:7">
      <c r="A87" s="105"/>
      <c r="B87" s="105"/>
      <c r="C87" s="30">
        <v>5</v>
      </c>
      <c r="D87" s="9" t="s">
        <v>241</v>
      </c>
      <c r="E87" s="105"/>
      <c r="F87" s="46" t="s">
        <v>137</v>
      </c>
      <c r="G87" s="9"/>
    </row>
    <row r="88" spans="1:7">
      <c r="A88" s="105"/>
      <c r="B88" s="105"/>
      <c r="C88" s="30">
        <v>4</v>
      </c>
      <c r="D88" s="9" t="s">
        <v>242</v>
      </c>
      <c r="E88" s="105"/>
      <c r="F88" s="46" t="s">
        <v>137</v>
      </c>
      <c r="G88" s="9"/>
    </row>
    <row r="89" spans="1:7">
      <c r="A89" s="105"/>
      <c r="B89" s="105"/>
      <c r="C89" s="30">
        <v>3</v>
      </c>
      <c r="D89" s="9" t="s">
        <v>243</v>
      </c>
      <c r="E89" s="105"/>
      <c r="F89" s="46" t="s">
        <v>137</v>
      </c>
      <c r="G89" s="9"/>
    </row>
    <row r="90" spans="1:7">
      <c r="A90" s="105"/>
      <c r="B90" s="105"/>
      <c r="C90" s="30">
        <v>2</v>
      </c>
      <c r="D90" s="9" t="s">
        <v>244</v>
      </c>
      <c r="E90" s="105"/>
      <c r="F90" s="46" t="s">
        <v>137</v>
      </c>
      <c r="G90" s="9"/>
    </row>
    <row r="91" spans="1:7">
      <c r="A91" s="105"/>
      <c r="B91" s="105"/>
      <c r="C91" s="30">
        <v>1</v>
      </c>
      <c r="D91" s="9" t="s">
        <v>245</v>
      </c>
      <c r="E91" s="105"/>
      <c r="F91" s="46" t="s">
        <v>137</v>
      </c>
      <c r="G91" s="9"/>
    </row>
    <row r="92" spans="1:7">
      <c r="A92" s="106"/>
      <c r="B92" s="106"/>
      <c r="C92" s="30">
        <v>0</v>
      </c>
      <c r="D92" s="9" t="s">
        <v>246</v>
      </c>
      <c r="E92" s="106"/>
      <c r="F92" s="46" t="s">
        <v>247</v>
      </c>
      <c r="G92" s="9"/>
    </row>
    <row r="93" spans="1:7">
      <c r="A93" s="107">
        <v>33</v>
      </c>
      <c r="B93" s="107" t="str">
        <f>DEC2HEX(A93, 2)</f>
        <v>21</v>
      </c>
      <c r="C93" s="30">
        <v>7</v>
      </c>
      <c r="D93" s="9" t="s">
        <v>248</v>
      </c>
      <c r="E93" s="112" t="s">
        <v>27</v>
      </c>
      <c r="F93" s="46" t="s">
        <v>137</v>
      </c>
      <c r="G93" s="9"/>
    </row>
    <row r="94" spans="1:7">
      <c r="A94" s="105"/>
      <c r="B94" s="105"/>
      <c r="C94" s="30">
        <v>6</v>
      </c>
      <c r="D94" s="9" t="s">
        <v>249</v>
      </c>
      <c r="E94" s="105"/>
      <c r="F94" s="46" t="s">
        <v>137</v>
      </c>
      <c r="G94" s="9"/>
    </row>
    <row r="95" spans="1:7">
      <c r="A95" s="105"/>
      <c r="B95" s="105"/>
      <c r="C95" s="30">
        <v>5</v>
      </c>
      <c r="D95" s="9" t="s">
        <v>250</v>
      </c>
      <c r="E95" s="105"/>
      <c r="F95" s="46" t="s">
        <v>137</v>
      </c>
      <c r="G95" s="9"/>
    </row>
    <row r="96" spans="1:7">
      <c r="A96" s="105"/>
      <c r="B96" s="105"/>
      <c r="C96" s="30">
        <v>4</v>
      </c>
      <c r="D96" s="9" t="s">
        <v>251</v>
      </c>
      <c r="E96" s="105"/>
      <c r="F96" s="46" t="s">
        <v>137</v>
      </c>
      <c r="G96" s="9"/>
    </row>
    <row r="97" spans="1:7">
      <c r="A97" s="105"/>
      <c r="B97" s="105"/>
      <c r="C97" s="30">
        <v>3</v>
      </c>
      <c r="D97" s="9" t="s">
        <v>252</v>
      </c>
      <c r="E97" s="105"/>
      <c r="F97" s="46" t="s">
        <v>137</v>
      </c>
      <c r="G97" s="9"/>
    </row>
    <row r="98" spans="1:7">
      <c r="A98" s="105"/>
      <c r="B98" s="105"/>
      <c r="C98" s="30">
        <v>2</v>
      </c>
      <c r="D98" s="9" t="s">
        <v>253</v>
      </c>
      <c r="E98" s="105"/>
      <c r="F98" s="46" t="s">
        <v>137</v>
      </c>
      <c r="G98" s="9"/>
    </row>
    <row r="99" spans="1:7">
      <c r="A99" s="105"/>
      <c r="B99" s="105"/>
      <c r="C99" s="30">
        <v>1</v>
      </c>
      <c r="D99" s="9" t="s">
        <v>254</v>
      </c>
      <c r="E99" s="105"/>
      <c r="F99" s="46" t="s">
        <v>137</v>
      </c>
      <c r="G99" s="9"/>
    </row>
    <row r="100" spans="1:7">
      <c r="A100" s="106"/>
      <c r="B100" s="106"/>
      <c r="C100" s="30">
        <v>0</v>
      </c>
      <c r="D100" s="9" t="s">
        <v>255</v>
      </c>
      <c r="E100" s="106"/>
      <c r="F100" s="46" t="s">
        <v>247</v>
      </c>
      <c r="G100" s="9"/>
    </row>
    <row r="101" spans="1:7">
      <c r="A101" s="107">
        <v>34</v>
      </c>
      <c r="B101" s="107" t="str">
        <f>DEC2HEX(A101, 2)</f>
        <v>22</v>
      </c>
      <c r="C101" s="30">
        <v>7</v>
      </c>
      <c r="D101" s="9" t="s">
        <v>256</v>
      </c>
      <c r="E101" s="112" t="s">
        <v>27</v>
      </c>
      <c r="F101" s="46" t="s">
        <v>137</v>
      </c>
      <c r="G101" s="9"/>
    </row>
    <row r="102" spans="1:7">
      <c r="A102" s="105"/>
      <c r="B102" s="105"/>
      <c r="C102" s="30">
        <v>6</v>
      </c>
      <c r="D102" s="9" t="s">
        <v>257</v>
      </c>
      <c r="E102" s="105"/>
      <c r="F102" s="46" t="s">
        <v>137</v>
      </c>
      <c r="G102" s="9"/>
    </row>
    <row r="103" spans="1:7">
      <c r="A103" s="105"/>
      <c r="B103" s="105"/>
      <c r="C103" s="30">
        <v>5</v>
      </c>
      <c r="D103" s="9" t="s">
        <v>258</v>
      </c>
      <c r="E103" s="105"/>
      <c r="F103" s="46" t="s">
        <v>137</v>
      </c>
      <c r="G103" s="9"/>
    </row>
    <row r="104" spans="1:7">
      <c r="A104" s="105"/>
      <c r="B104" s="105"/>
      <c r="C104" s="30">
        <v>4</v>
      </c>
      <c r="D104" s="9" t="s">
        <v>259</v>
      </c>
      <c r="E104" s="105"/>
      <c r="F104" s="46" t="s">
        <v>137</v>
      </c>
      <c r="G104" s="9"/>
    </row>
    <row r="105" spans="1:7">
      <c r="A105" s="105"/>
      <c r="B105" s="105"/>
      <c r="C105" s="30">
        <v>3</v>
      </c>
      <c r="D105" s="9" t="s">
        <v>260</v>
      </c>
      <c r="E105" s="105"/>
      <c r="F105" s="46" t="s">
        <v>137</v>
      </c>
      <c r="G105" s="9"/>
    </row>
    <row r="106" spans="1:7">
      <c r="A106" s="105"/>
      <c r="B106" s="105"/>
      <c r="C106" s="30">
        <v>2</v>
      </c>
      <c r="D106" s="9" t="s">
        <v>261</v>
      </c>
      <c r="E106" s="105"/>
      <c r="F106" s="46" t="s">
        <v>137</v>
      </c>
      <c r="G106" s="9"/>
    </row>
    <row r="107" spans="1:7">
      <c r="A107" s="105"/>
      <c r="B107" s="105"/>
      <c r="C107" s="30">
        <v>1</v>
      </c>
      <c r="D107" s="9" t="s">
        <v>262</v>
      </c>
      <c r="E107" s="105"/>
      <c r="F107" s="46" t="s">
        <v>137</v>
      </c>
      <c r="G107" s="9"/>
    </row>
    <row r="108" spans="1:7">
      <c r="A108" s="106"/>
      <c r="B108" s="106"/>
      <c r="C108" s="30">
        <v>0</v>
      </c>
      <c r="D108" s="9" t="s">
        <v>263</v>
      </c>
      <c r="E108" s="106"/>
      <c r="F108" s="46" t="s">
        <v>247</v>
      </c>
      <c r="G108" s="9"/>
    </row>
    <row r="109" spans="1:7">
      <c r="A109" s="7">
        <v>35</v>
      </c>
      <c r="B109" s="7" t="str">
        <f>DEC2HEX(A109, 2)</f>
        <v>23</v>
      </c>
      <c r="C109" s="30" t="s">
        <v>18</v>
      </c>
      <c r="D109" s="9" t="s">
        <v>264</v>
      </c>
      <c r="E109" s="9"/>
      <c r="F109" s="46" t="s">
        <v>146</v>
      </c>
      <c r="G109" s="9"/>
    </row>
    <row r="110" spans="1:7">
      <c r="A110" s="7">
        <v>36</v>
      </c>
      <c r="B110" s="7" t="str">
        <f>DEC2HEX(A110, 2)</f>
        <v>24</v>
      </c>
      <c r="C110" s="30" t="s">
        <v>18</v>
      </c>
      <c r="D110" s="9" t="s">
        <v>265</v>
      </c>
      <c r="E110" s="9"/>
      <c r="F110" s="46" t="s">
        <v>146</v>
      </c>
      <c r="G110" s="9"/>
    </row>
    <row r="111" spans="1:7">
      <c r="A111" s="107">
        <v>37</v>
      </c>
      <c r="B111" s="107" t="str">
        <f>DEC2HEX(A111, 2)</f>
        <v>25</v>
      </c>
      <c r="C111" s="30">
        <v>7</v>
      </c>
      <c r="D111" s="9" t="s">
        <v>266</v>
      </c>
      <c r="E111" s="112" t="s">
        <v>136</v>
      </c>
      <c r="F111" s="46" t="s">
        <v>12</v>
      </c>
      <c r="G111" s="9"/>
    </row>
    <row r="112" spans="1:7">
      <c r="A112" s="105"/>
      <c r="B112" s="105"/>
      <c r="C112" s="30">
        <v>6</v>
      </c>
      <c r="D112" s="9" t="s">
        <v>267</v>
      </c>
      <c r="E112" s="105"/>
      <c r="F112" s="46" t="s">
        <v>12</v>
      </c>
      <c r="G112" s="9"/>
    </row>
    <row r="113" spans="1:7">
      <c r="A113" s="106"/>
      <c r="B113" s="106"/>
      <c r="C113" s="30" t="s">
        <v>35</v>
      </c>
      <c r="D113" s="9" t="s">
        <v>268</v>
      </c>
      <c r="E113" s="106"/>
      <c r="F113" s="46" t="s">
        <v>269</v>
      </c>
      <c r="G113" s="9"/>
    </row>
    <row r="114" spans="1:7">
      <c r="A114" s="107">
        <v>38</v>
      </c>
      <c r="B114" s="107" t="str">
        <f>DEC2HEX(A114, 2)</f>
        <v>26</v>
      </c>
      <c r="C114" s="30">
        <v>7</v>
      </c>
      <c r="D114" s="9" t="s">
        <v>270</v>
      </c>
      <c r="E114" s="112" t="s">
        <v>136</v>
      </c>
      <c r="F114" s="46" t="s">
        <v>12</v>
      </c>
      <c r="G114" s="9"/>
    </row>
    <row r="115" spans="1:7">
      <c r="A115" s="105"/>
      <c r="B115" s="105"/>
      <c r="C115" s="30">
        <v>6</v>
      </c>
      <c r="D115" s="9" t="s">
        <v>271</v>
      </c>
      <c r="E115" s="105"/>
      <c r="F115" s="46" t="s">
        <v>12</v>
      </c>
      <c r="G115" s="9"/>
    </row>
    <row r="116" spans="1:7">
      <c r="A116" s="106"/>
      <c r="B116" s="106"/>
      <c r="C116" s="30" t="s">
        <v>35</v>
      </c>
      <c r="D116" s="9" t="s">
        <v>272</v>
      </c>
      <c r="E116" s="106"/>
      <c r="F116" s="46" t="s">
        <v>269</v>
      </c>
      <c r="G116" s="9"/>
    </row>
    <row r="117" spans="1:7">
      <c r="A117" s="7">
        <v>39</v>
      </c>
      <c r="B117" s="7" t="str">
        <f>DEC2HEX(A117, 2)</f>
        <v>27</v>
      </c>
      <c r="C117" s="30" t="s">
        <v>18</v>
      </c>
      <c r="D117" s="9" t="s">
        <v>273</v>
      </c>
      <c r="E117" s="8" t="s">
        <v>115</v>
      </c>
      <c r="F117" s="46" t="s">
        <v>274</v>
      </c>
      <c r="G117" s="9"/>
    </row>
    <row r="118" spans="1:7">
      <c r="A118" s="7">
        <v>40</v>
      </c>
      <c r="B118" s="7" t="str">
        <f>DEC2HEX(A118, 2)</f>
        <v>28</v>
      </c>
      <c r="C118" s="30" t="s">
        <v>18</v>
      </c>
      <c r="D118" s="9" t="s">
        <v>275</v>
      </c>
      <c r="E118" s="8" t="s">
        <v>115</v>
      </c>
      <c r="F118" s="46" t="s">
        <v>146</v>
      </c>
      <c r="G118" s="9"/>
    </row>
    <row r="119" spans="1:7">
      <c r="A119" s="7">
        <v>41</v>
      </c>
      <c r="B119" s="7" t="str">
        <f>DEC2HEX(A119, 2)</f>
        <v>29</v>
      </c>
      <c r="C119" s="30" t="s">
        <v>18</v>
      </c>
      <c r="D119" s="9" t="s">
        <v>276</v>
      </c>
      <c r="E119" s="9" t="s">
        <v>277</v>
      </c>
      <c r="F119" s="46" t="s">
        <v>146</v>
      </c>
      <c r="G119" s="9" t="s">
        <v>278</v>
      </c>
    </row>
    <row r="120" spans="1:7">
      <c r="A120" s="107">
        <v>42</v>
      </c>
      <c r="B120" s="107" t="str">
        <f>DEC2HEX(A120, 2)</f>
        <v>2A</v>
      </c>
      <c r="C120" s="30" t="s">
        <v>129</v>
      </c>
      <c r="D120" s="9" t="s">
        <v>8</v>
      </c>
      <c r="E120" s="111" t="s">
        <v>115</v>
      </c>
      <c r="F120" s="46" t="s">
        <v>30</v>
      </c>
      <c r="G120" s="9"/>
    </row>
    <row r="121" spans="1:7">
      <c r="A121" s="106"/>
      <c r="B121" s="106"/>
      <c r="C121" s="30" t="s">
        <v>227</v>
      </c>
      <c r="D121" s="9" t="s">
        <v>279</v>
      </c>
      <c r="E121" s="106"/>
      <c r="F121" s="46" t="s">
        <v>30</v>
      </c>
      <c r="G121" s="9"/>
    </row>
    <row r="122" spans="1:7">
      <c r="A122" s="7" t="s">
        <v>280</v>
      </c>
      <c r="B122" s="18" t="s">
        <v>281</v>
      </c>
      <c r="C122" s="30" t="s">
        <v>18</v>
      </c>
      <c r="D122" s="9" t="s">
        <v>282</v>
      </c>
      <c r="E122" s="9"/>
      <c r="F122" s="46" t="s">
        <v>23</v>
      </c>
      <c r="G122" s="9"/>
    </row>
    <row r="123" spans="1:7">
      <c r="A123" s="7">
        <v>56</v>
      </c>
      <c r="B123" s="7" t="str">
        <f>DEC2HEX(A123, 2)</f>
        <v>38</v>
      </c>
      <c r="C123" s="30" t="s">
        <v>18</v>
      </c>
      <c r="D123" s="9" t="s">
        <v>283</v>
      </c>
      <c r="E123" s="8" t="s">
        <v>115</v>
      </c>
      <c r="F123" s="46" t="s">
        <v>146</v>
      </c>
      <c r="G123" s="9" t="s">
        <v>284</v>
      </c>
    </row>
    <row r="124" spans="1:7">
      <c r="A124" s="7">
        <v>57</v>
      </c>
      <c r="B124" s="7" t="str">
        <f>DEC2HEX(A124, 2)</f>
        <v>39</v>
      </c>
      <c r="C124" s="30" t="s">
        <v>18</v>
      </c>
      <c r="D124" s="9" t="s">
        <v>285</v>
      </c>
      <c r="E124" s="8" t="s">
        <v>115</v>
      </c>
      <c r="F124" s="46" t="s">
        <v>146</v>
      </c>
      <c r="G124" s="9"/>
    </row>
    <row r="125" spans="1:7">
      <c r="A125" s="7" t="s">
        <v>286</v>
      </c>
      <c r="B125" s="18" t="s">
        <v>287</v>
      </c>
      <c r="C125" s="30" t="s">
        <v>18</v>
      </c>
      <c r="D125" s="9" t="s">
        <v>288</v>
      </c>
      <c r="E125" s="9"/>
      <c r="F125" s="46" t="s">
        <v>232</v>
      </c>
      <c r="G125" s="9"/>
    </row>
    <row r="126" spans="1:7">
      <c r="A126" s="107">
        <v>60</v>
      </c>
      <c r="B126" s="107" t="str">
        <f>DEC2HEX(A126, 2)</f>
        <v>3C</v>
      </c>
      <c r="C126" s="30" t="s">
        <v>129</v>
      </c>
      <c r="D126" s="9" t="s">
        <v>8</v>
      </c>
      <c r="E126" s="8"/>
      <c r="F126" s="46" t="s">
        <v>30</v>
      </c>
      <c r="G126" s="9"/>
    </row>
    <row r="127" spans="1:7">
      <c r="A127" s="106"/>
      <c r="B127" s="106"/>
      <c r="C127" s="30" t="s">
        <v>227</v>
      </c>
      <c r="D127" s="9" t="s">
        <v>289</v>
      </c>
      <c r="E127" s="8" t="s">
        <v>115</v>
      </c>
      <c r="F127" s="46" t="s">
        <v>30</v>
      </c>
      <c r="G127" s="9"/>
    </row>
    <row r="128" spans="1:7">
      <c r="A128" s="107">
        <v>61</v>
      </c>
      <c r="B128" s="107" t="str">
        <f>DEC2HEX(A128, 2)</f>
        <v>3D</v>
      </c>
      <c r="C128" s="30" t="s">
        <v>129</v>
      </c>
      <c r="D128" s="9" t="s">
        <v>8</v>
      </c>
      <c r="E128" s="8"/>
      <c r="F128" s="46" t="s">
        <v>30</v>
      </c>
      <c r="G128" s="9"/>
    </row>
    <row r="129" spans="1:9">
      <c r="A129" s="106"/>
      <c r="B129" s="106"/>
      <c r="C129" s="30" t="s">
        <v>227</v>
      </c>
      <c r="D129" s="9" t="s">
        <v>290</v>
      </c>
      <c r="E129" s="8" t="s">
        <v>115</v>
      </c>
      <c r="F129" s="46" t="s">
        <v>30</v>
      </c>
      <c r="G129" s="9"/>
    </row>
    <row r="130" spans="1:9">
      <c r="A130" s="7">
        <v>62</v>
      </c>
      <c r="B130" s="7" t="str">
        <f>DEC2HEX(A130, 2)</f>
        <v>3E</v>
      </c>
      <c r="C130" s="30" t="s">
        <v>18</v>
      </c>
      <c r="D130" s="9" t="s">
        <v>291</v>
      </c>
      <c r="E130" s="8" t="s">
        <v>115</v>
      </c>
      <c r="F130" s="46" t="s">
        <v>146</v>
      </c>
      <c r="G130" s="9"/>
    </row>
    <row r="131" spans="1:9">
      <c r="A131" s="7">
        <v>63</v>
      </c>
      <c r="B131" s="7" t="str">
        <f>DEC2HEX(A131, 2)</f>
        <v>3F</v>
      </c>
      <c r="C131" s="30" t="s">
        <v>18</v>
      </c>
      <c r="D131" s="9" t="s">
        <v>8</v>
      </c>
      <c r="E131" s="9"/>
      <c r="F131" s="46" t="s">
        <v>146</v>
      </c>
      <c r="G131" s="9"/>
    </row>
    <row r="132" spans="1:9">
      <c r="A132" s="7" t="s">
        <v>292</v>
      </c>
      <c r="B132" s="18" t="s">
        <v>293</v>
      </c>
      <c r="C132" s="30" t="s">
        <v>18</v>
      </c>
      <c r="D132" s="9" t="s">
        <v>294</v>
      </c>
      <c r="E132" s="9"/>
      <c r="F132" s="46" t="s">
        <v>295</v>
      </c>
      <c r="G132" s="9"/>
    </row>
    <row r="133" spans="1:9">
      <c r="A133" s="7">
        <v>85</v>
      </c>
      <c r="B133" s="7" t="str">
        <f>DEC2HEX(A133, 2)</f>
        <v>55</v>
      </c>
      <c r="C133" s="30" t="s">
        <v>18</v>
      </c>
      <c r="D133" s="9" t="s">
        <v>296</v>
      </c>
      <c r="E133" s="8" t="s">
        <v>115</v>
      </c>
      <c r="F133" s="50" t="s">
        <v>297</v>
      </c>
      <c r="G133" s="9" t="s">
        <v>298</v>
      </c>
    </row>
    <row r="134" spans="1:9" ht="14.5" customHeight="1">
      <c r="A134" s="7">
        <v>86</v>
      </c>
      <c r="B134" s="7" t="str">
        <f>DEC2HEX(A134, 2)</f>
        <v>56</v>
      </c>
      <c r="C134" s="30" t="s">
        <v>18</v>
      </c>
      <c r="D134" s="9" t="s">
        <v>299</v>
      </c>
      <c r="E134" s="111" t="s">
        <v>300</v>
      </c>
      <c r="F134" s="46" t="s">
        <v>119</v>
      </c>
      <c r="G134" s="35"/>
    </row>
    <row r="135" spans="1:9">
      <c r="A135" s="7">
        <v>87</v>
      </c>
      <c r="B135" s="7" t="str">
        <f>DEC2HEX(A135, 2)</f>
        <v>57</v>
      </c>
      <c r="C135" s="30" t="s">
        <v>18</v>
      </c>
      <c r="D135" s="9" t="s">
        <v>301</v>
      </c>
      <c r="E135" s="105"/>
      <c r="F135" s="46" t="s">
        <v>302</v>
      </c>
      <c r="G135" s="35"/>
    </row>
    <row r="136" spans="1:9">
      <c r="A136" s="107">
        <v>88</v>
      </c>
      <c r="B136" s="107" t="str">
        <f>DEC2HEX(A136, 2)</f>
        <v>58</v>
      </c>
      <c r="C136" s="40" t="s">
        <v>129</v>
      </c>
      <c r="D136" s="9" t="s">
        <v>303</v>
      </c>
      <c r="E136" s="105"/>
      <c r="F136" s="46" t="s">
        <v>304</v>
      </c>
      <c r="G136" s="9"/>
      <c r="I136" s="15"/>
    </row>
    <row r="137" spans="1:9">
      <c r="A137" s="106"/>
      <c r="B137" s="106"/>
      <c r="C137" s="30" t="s">
        <v>227</v>
      </c>
      <c r="D137" s="9" t="s">
        <v>305</v>
      </c>
      <c r="E137" s="105"/>
      <c r="F137" s="46" t="s">
        <v>127</v>
      </c>
      <c r="G137" s="9"/>
    </row>
    <row r="138" spans="1:9">
      <c r="A138" s="7">
        <v>89</v>
      </c>
      <c r="B138" s="7" t="str">
        <f>DEC2HEX(A138, 2)</f>
        <v>59</v>
      </c>
      <c r="C138" s="30" t="s">
        <v>18</v>
      </c>
      <c r="D138" s="9" t="s">
        <v>306</v>
      </c>
      <c r="E138" s="106"/>
      <c r="F138" s="46" t="s">
        <v>274</v>
      </c>
      <c r="G138" s="9"/>
    </row>
    <row r="139" spans="1:9" ht="14.5" customHeight="1">
      <c r="A139" s="7">
        <v>90</v>
      </c>
      <c r="B139" s="7" t="str">
        <f>DEC2HEX(A139, 2)</f>
        <v>5A</v>
      </c>
      <c r="C139" s="30" t="s">
        <v>18</v>
      </c>
      <c r="D139" s="9" t="s">
        <v>307</v>
      </c>
      <c r="E139" s="111" t="s">
        <v>300</v>
      </c>
      <c r="F139" s="46" t="s">
        <v>308</v>
      </c>
      <c r="G139" s="9"/>
    </row>
    <row r="140" spans="1:9">
      <c r="A140" s="7">
        <v>91</v>
      </c>
      <c r="B140" s="7" t="str">
        <f>DEC2HEX(A140, 2)</f>
        <v>5B</v>
      </c>
      <c r="C140" s="30" t="s">
        <v>18</v>
      </c>
      <c r="D140" s="9" t="s">
        <v>309</v>
      </c>
      <c r="E140" s="105"/>
      <c r="F140" s="46" t="s">
        <v>302</v>
      </c>
      <c r="G140" s="9"/>
    </row>
    <row r="141" spans="1:9">
      <c r="A141" s="107">
        <v>92</v>
      </c>
      <c r="B141" s="107" t="str">
        <f>DEC2HEX(A141, 2)</f>
        <v>5C</v>
      </c>
      <c r="C141" s="40" t="s">
        <v>129</v>
      </c>
      <c r="D141" s="9" t="s">
        <v>310</v>
      </c>
      <c r="E141" s="105"/>
      <c r="F141" s="46" t="s">
        <v>304</v>
      </c>
      <c r="G141" s="9"/>
    </row>
    <row r="142" spans="1:9">
      <c r="A142" s="106"/>
      <c r="B142" s="106"/>
      <c r="C142" s="30" t="s">
        <v>227</v>
      </c>
      <c r="D142" s="9" t="s">
        <v>311</v>
      </c>
      <c r="E142" s="105"/>
      <c r="F142" s="46" t="s">
        <v>127</v>
      </c>
      <c r="G142" s="9"/>
    </row>
    <row r="143" spans="1:9">
      <c r="A143" s="7">
        <v>93</v>
      </c>
      <c r="B143" s="7" t="str">
        <f>DEC2HEX(A143, 2)</f>
        <v>5D</v>
      </c>
      <c r="C143" s="30" t="s">
        <v>18</v>
      </c>
      <c r="D143" s="9" t="s">
        <v>312</v>
      </c>
      <c r="E143" s="106"/>
      <c r="F143" s="46" t="s">
        <v>274</v>
      </c>
      <c r="G143" s="9"/>
    </row>
    <row r="144" spans="1:9" ht="14.5" customHeight="1">
      <c r="A144" s="7">
        <v>94</v>
      </c>
      <c r="B144" s="7" t="str">
        <f>DEC2HEX(A144, 2)</f>
        <v>5E</v>
      </c>
      <c r="C144" s="30" t="s">
        <v>18</v>
      </c>
      <c r="D144" s="9" t="s">
        <v>313</v>
      </c>
      <c r="E144" s="111" t="s">
        <v>314</v>
      </c>
      <c r="F144" s="46" t="s">
        <v>315</v>
      </c>
      <c r="G144" s="9"/>
    </row>
    <row r="145" spans="1:7">
      <c r="A145" s="7">
        <v>95</v>
      </c>
      <c r="B145" s="7" t="str">
        <f>DEC2HEX(A145, 2)</f>
        <v>5F</v>
      </c>
      <c r="C145" s="30" t="s">
        <v>18</v>
      </c>
      <c r="D145" s="9" t="s">
        <v>316</v>
      </c>
      <c r="E145" s="105"/>
      <c r="F145" s="46" t="s">
        <v>317</v>
      </c>
      <c r="G145" s="9"/>
    </row>
    <row r="146" spans="1:7">
      <c r="A146" s="107">
        <v>96</v>
      </c>
      <c r="B146" s="107" t="str">
        <f>DEC2HEX(A146, 2)</f>
        <v>60</v>
      </c>
      <c r="C146" s="40" t="s">
        <v>129</v>
      </c>
      <c r="D146" s="9" t="s">
        <v>318</v>
      </c>
      <c r="E146" s="105"/>
      <c r="F146" s="46" t="s">
        <v>319</v>
      </c>
      <c r="G146" s="9"/>
    </row>
    <row r="147" spans="1:7">
      <c r="A147" s="106"/>
      <c r="B147" s="106"/>
      <c r="C147" s="30" t="s">
        <v>227</v>
      </c>
      <c r="D147" s="9" t="s">
        <v>320</v>
      </c>
      <c r="E147" s="105"/>
      <c r="F147" s="46" t="s">
        <v>127</v>
      </c>
      <c r="G147" s="9"/>
    </row>
    <row r="148" spans="1:7">
      <c r="A148" s="7">
        <v>97</v>
      </c>
      <c r="B148" s="7" t="str">
        <f>DEC2HEX(A148, 2)</f>
        <v>61</v>
      </c>
      <c r="C148" s="30" t="s">
        <v>18</v>
      </c>
      <c r="D148" s="9" t="s">
        <v>321</v>
      </c>
      <c r="E148" s="106"/>
      <c r="F148" s="46" t="s">
        <v>274</v>
      </c>
      <c r="G148" s="9"/>
    </row>
    <row r="149" spans="1:7" ht="14.5" customHeight="1">
      <c r="A149" s="7">
        <v>98</v>
      </c>
      <c r="B149" s="7" t="str">
        <f>DEC2HEX(A149, 2)</f>
        <v>62</v>
      </c>
      <c r="C149" s="30" t="s">
        <v>18</v>
      </c>
      <c r="D149" s="9" t="s">
        <v>322</v>
      </c>
      <c r="E149" s="111" t="s">
        <v>314</v>
      </c>
      <c r="F149" s="46" t="s">
        <v>323</v>
      </c>
      <c r="G149" s="9"/>
    </row>
    <row r="150" spans="1:7">
      <c r="A150" s="7">
        <v>99</v>
      </c>
      <c r="B150" s="7" t="str">
        <f>DEC2HEX(A150, 2)</f>
        <v>63</v>
      </c>
      <c r="C150" s="30" t="s">
        <v>18</v>
      </c>
      <c r="D150" s="9" t="s">
        <v>324</v>
      </c>
      <c r="E150" s="105"/>
      <c r="F150" s="46" t="s">
        <v>317</v>
      </c>
      <c r="G150" s="9"/>
    </row>
    <row r="151" spans="1:7">
      <c r="A151" s="107">
        <v>100</v>
      </c>
      <c r="B151" s="107" t="str">
        <f>DEC2HEX(A151, 2)</f>
        <v>64</v>
      </c>
      <c r="C151" s="40" t="s">
        <v>129</v>
      </c>
      <c r="D151" s="9" t="s">
        <v>325</v>
      </c>
      <c r="E151" s="105"/>
      <c r="F151" s="46" t="s">
        <v>319</v>
      </c>
      <c r="G151" s="9"/>
    </row>
    <row r="152" spans="1:7">
      <c r="A152" s="106"/>
      <c r="B152" s="106"/>
      <c r="C152" s="30" t="s">
        <v>227</v>
      </c>
      <c r="D152" s="9" t="s">
        <v>326</v>
      </c>
      <c r="E152" s="105"/>
      <c r="F152" s="46" t="s">
        <v>127</v>
      </c>
      <c r="G152" s="9"/>
    </row>
    <row r="153" spans="1:7">
      <c r="A153" s="7">
        <v>101</v>
      </c>
      <c r="B153" s="7" t="str">
        <f>DEC2HEX(A153, 2)</f>
        <v>65</v>
      </c>
      <c r="C153" s="30" t="s">
        <v>18</v>
      </c>
      <c r="D153" s="9" t="s">
        <v>327</v>
      </c>
      <c r="E153" s="106"/>
      <c r="F153" s="46" t="s">
        <v>274</v>
      </c>
      <c r="G153" s="9"/>
    </row>
    <row r="154" spans="1:7" ht="14.5" customHeight="1">
      <c r="A154" s="7">
        <v>102</v>
      </c>
      <c r="B154" s="7" t="str">
        <f>DEC2HEX(A154, 2)</f>
        <v>66</v>
      </c>
      <c r="C154" s="30" t="s">
        <v>18</v>
      </c>
      <c r="D154" s="9" t="s">
        <v>328</v>
      </c>
      <c r="E154" s="111" t="s">
        <v>314</v>
      </c>
      <c r="F154" s="46" t="s">
        <v>315</v>
      </c>
      <c r="G154" s="9"/>
    </row>
    <row r="155" spans="1:7">
      <c r="A155" s="7">
        <v>103</v>
      </c>
      <c r="B155" s="7" t="str">
        <f>DEC2HEX(A155, 2)</f>
        <v>67</v>
      </c>
      <c r="C155" s="30" t="s">
        <v>18</v>
      </c>
      <c r="D155" s="9" t="s">
        <v>329</v>
      </c>
      <c r="E155" s="105"/>
      <c r="F155" s="46" t="s">
        <v>302</v>
      </c>
      <c r="G155" s="9"/>
    </row>
    <row r="156" spans="1:7">
      <c r="A156" s="107">
        <v>104</v>
      </c>
      <c r="B156" s="107" t="str">
        <f>DEC2HEX(A156, 2)</f>
        <v>68</v>
      </c>
      <c r="C156" s="40" t="s">
        <v>129</v>
      </c>
      <c r="D156" s="9" t="s">
        <v>330</v>
      </c>
      <c r="E156" s="105"/>
      <c r="F156" s="46" t="s">
        <v>319</v>
      </c>
      <c r="G156" s="9"/>
    </row>
    <row r="157" spans="1:7">
      <c r="A157" s="106"/>
      <c r="B157" s="106"/>
      <c r="C157" s="30" t="s">
        <v>227</v>
      </c>
      <c r="D157" s="9" t="s">
        <v>331</v>
      </c>
      <c r="E157" s="105"/>
      <c r="F157" s="46" t="s">
        <v>127</v>
      </c>
      <c r="G157" s="9"/>
    </row>
    <row r="158" spans="1:7">
      <c r="A158" s="7">
        <v>105</v>
      </c>
      <c r="B158" s="7" t="str">
        <f>DEC2HEX(A158, 2)</f>
        <v>69</v>
      </c>
      <c r="C158" s="30" t="s">
        <v>18</v>
      </c>
      <c r="D158" s="9" t="s">
        <v>332</v>
      </c>
      <c r="E158" s="106"/>
      <c r="F158" s="46" t="s">
        <v>333</v>
      </c>
      <c r="G158" s="9"/>
    </row>
    <row r="159" spans="1:7" ht="14.5" customHeight="1">
      <c r="A159" s="7">
        <v>106</v>
      </c>
      <c r="B159" s="7" t="str">
        <f>DEC2HEX(A159, 2)</f>
        <v>6A</v>
      </c>
      <c r="C159" s="30" t="s">
        <v>18</v>
      </c>
      <c r="D159" s="9" t="s">
        <v>334</v>
      </c>
      <c r="E159" s="111" t="s">
        <v>314</v>
      </c>
      <c r="F159" s="46" t="s">
        <v>323</v>
      </c>
      <c r="G159" s="9"/>
    </row>
    <row r="160" spans="1:7">
      <c r="A160" s="7">
        <v>107</v>
      </c>
      <c r="B160" s="7" t="str">
        <f>DEC2HEX(A160, 2)</f>
        <v>6B</v>
      </c>
      <c r="C160" s="30" t="s">
        <v>18</v>
      </c>
      <c r="D160" s="9" t="s">
        <v>335</v>
      </c>
      <c r="E160" s="105"/>
      <c r="F160" s="46" t="s">
        <v>302</v>
      </c>
      <c r="G160" s="9"/>
    </row>
    <row r="161" spans="1:7">
      <c r="A161" s="107">
        <v>108</v>
      </c>
      <c r="B161" s="107" t="str">
        <f>DEC2HEX(A161, 2)</f>
        <v>6C</v>
      </c>
      <c r="C161" s="40" t="s">
        <v>129</v>
      </c>
      <c r="D161" s="9" t="s">
        <v>336</v>
      </c>
      <c r="E161" s="105"/>
      <c r="F161" s="46" t="s">
        <v>319</v>
      </c>
      <c r="G161" s="9"/>
    </row>
    <row r="162" spans="1:7">
      <c r="A162" s="106"/>
      <c r="B162" s="106"/>
      <c r="C162" s="30" t="s">
        <v>227</v>
      </c>
      <c r="D162" s="9" t="s">
        <v>337</v>
      </c>
      <c r="E162" s="105"/>
      <c r="F162" s="46" t="s">
        <v>127</v>
      </c>
      <c r="G162" s="9"/>
    </row>
    <row r="163" spans="1:7">
      <c r="A163" s="7">
        <v>109</v>
      </c>
      <c r="B163" s="7" t="str">
        <f>DEC2HEX(A163, 2)</f>
        <v>6D</v>
      </c>
      <c r="C163" s="30" t="s">
        <v>18</v>
      </c>
      <c r="D163" s="9" t="s">
        <v>338</v>
      </c>
      <c r="E163" s="106"/>
      <c r="F163" s="46" t="s">
        <v>333</v>
      </c>
      <c r="G163" s="9"/>
    </row>
    <row r="164" spans="1:7" ht="14.5" customHeight="1">
      <c r="A164" s="7">
        <v>110</v>
      </c>
      <c r="B164" s="7" t="str">
        <f>DEC2HEX(A164, 2)</f>
        <v>6E</v>
      </c>
      <c r="C164" s="30" t="s">
        <v>18</v>
      </c>
      <c r="D164" s="9" t="s">
        <v>339</v>
      </c>
      <c r="E164" s="111" t="s">
        <v>314</v>
      </c>
      <c r="F164" s="46" t="s">
        <v>333</v>
      </c>
      <c r="G164" s="9"/>
    </row>
    <row r="165" spans="1:7">
      <c r="A165" s="7">
        <v>111</v>
      </c>
      <c r="B165" s="7" t="str">
        <f>DEC2HEX(A165, 2)</f>
        <v>6F</v>
      </c>
      <c r="C165" s="30" t="s">
        <v>18</v>
      </c>
      <c r="D165" s="9" t="s">
        <v>340</v>
      </c>
      <c r="E165" s="105"/>
      <c r="F165" s="46" t="s">
        <v>317</v>
      </c>
      <c r="G165" s="9"/>
    </row>
    <row r="166" spans="1:7">
      <c r="A166" s="107">
        <v>112</v>
      </c>
      <c r="B166" s="107" t="str">
        <f>DEC2HEX(A166, 2)</f>
        <v>70</v>
      </c>
      <c r="C166" s="40" t="s">
        <v>129</v>
      </c>
      <c r="D166" s="9" t="s">
        <v>341</v>
      </c>
      <c r="E166" s="105"/>
      <c r="F166" s="46" t="s">
        <v>304</v>
      </c>
      <c r="G166" s="9"/>
    </row>
    <row r="167" spans="1:7">
      <c r="A167" s="106"/>
      <c r="B167" s="106"/>
      <c r="C167" s="30" t="s">
        <v>227</v>
      </c>
      <c r="D167" s="9" t="s">
        <v>342</v>
      </c>
      <c r="E167" s="105"/>
      <c r="F167" s="46" t="s">
        <v>127</v>
      </c>
      <c r="G167" s="9"/>
    </row>
    <row r="168" spans="1:7">
      <c r="A168" s="7">
        <v>113</v>
      </c>
      <c r="B168" s="7" t="str">
        <f>DEC2HEX(A168, 2)</f>
        <v>71</v>
      </c>
      <c r="C168" s="30" t="s">
        <v>18</v>
      </c>
      <c r="D168" s="9" t="s">
        <v>343</v>
      </c>
      <c r="E168" s="106"/>
      <c r="F168" s="46" t="s">
        <v>274</v>
      </c>
      <c r="G168" s="9"/>
    </row>
    <row r="169" spans="1:7" ht="14.5" customHeight="1">
      <c r="A169" s="7">
        <v>114</v>
      </c>
      <c r="B169" s="7" t="str">
        <f>DEC2HEX(A169, 2)</f>
        <v>72</v>
      </c>
      <c r="C169" s="30" t="s">
        <v>18</v>
      </c>
      <c r="D169" s="9" t="s">
        <v>344</v>
      </c>
      <c r="E169" s="111" t="s">
        <v>314</v>
      </c>
      <c r="F169" s="46" t="s">
        <v>247</v>
      </c>
      <c r="G169" s="9"/>
    </row>
    <row r="170" spans="1:7">
      <c r="A170" s="7">
        <v>115</v>
      </c>
      <c r="B170" s="7" t="str">
        <f>DEC2HEX(A170, 2)</f>
        <v>73</v>
      </c>
      <c r="C170" s="30" t="s">
        <v>18</v>
      </c>
      <c r="D170" s="9" t="s">
        <v>345</v>
      </c>
      <c r="E170" s="105"/>
      <c r="F170" s="46" t="s">
        <v>146</v>
      </c>
      <c r="G170" s="9"/>
    </row>
    <row r="171" spans="1:7">
      <c r="A171" s="107">
        <v>116</v>
      </c>
      <c r="B171" s="107" t="str">
        <f>DEC2HEX(A171, 2)</f>
        <v>74</v>
      </c>
      <c r="C171" s="40" t="s">
        <v>129</v>
      </c>
      <c r="D171" s="9" t="s">
        <v>346</v>
      </c>
      <c r="E171" s="105"/>
      <c r="F171" s="46" t="s">
        <v>30</v>
      </c>
      <c r="G171" s="9"/>
    </row>
    <row r="172" spans="1:7">
      <c r="A172" s="106"/>
      <c r="B172" s="106"/>
      <c r="C172" s="30" t="s">
        <v>227</v>
      </c>
      <c r="D172" s="9" t="s">
        <v>347</v>
      </c>
      <c r="E172" s="105"/>
      <c r="F172" s="46" t="s">
        <v>30</v>
      </c>
      <c r="G172" s="9"/>
    </row>
    <row r="173" spans="1:7">
      <c r="A173" s="7">
        <v>117</v>
      </c>
      <c r="B173" s="7" t="str">
        <f>DEC2HEX(A173, 2)</f>
        <v>75</v>
      </c>
      <c r="C173" s="30" t="s">
        <v>18</v>
      </c>
      <c r="D173" s="9" t="s">
        <v>348</v>
      </c>
      <c r="E173" s="106"/>
      <c r="F173" s="46" t="s">
        <v>146</v>
      </c>
      <c r="G173" s="9"/>
    </row>
    <row r="174" spans="1:7" ht="29.15" customHeight="1">
      <c r="A174" s="7" t="s">
        <v>349</v>
      </c>
      <c r="B174" s="18" t="s">
        <v>350</v>
      </c>
      <c r="C174" s="30" t="s">
        <v>18</v>
      </c>
      <c r="D174" s="9" t="s">
        <v>351</v>
      </c>
      <c r="E174" s="8" t="s">
        <v>352</v>
      </c>
      <c r="F174" s="46" t="s">
        <v>353</v>
      </c>
      <c r="G174" s="9"/>
    </row>
    <row r="175" spans="1:7" ht="29.15" customHeight="1">
      <c r="A175" s="7" t="s">
        <v>354</v>
      </c>
      <c r="B175" s="18" t="s">
        <v>355</v>
      </c>
      <c r="C175" s="30" t="s">
        <v>18</v>
      </c>
      <c r="D175" s="9" t="s">
        <v>356</v>
      </c>
      <c r="E175" s="8" t="s">
        <v>352</v>
      </c>
      <c r="F175" s="46" t="s">
        <v>353</v>
      </c>
      <c r="G175" s="9"/>
    </row>
    <row r="176" spans="1:7" ht="29.15" customHeight="1">
      <c r="A176" s="7">
        <v>126</v>
      </c>
      <c r="B176" s="7" t="str">
        <f>DEC2HEX(A176, 2)</f>
        <v>7E</v>
      </c>
      <c r="C176" s="30" t="s">
        <v>18</v>
      </c>
      <c r="D176" s="9" t="s">
        <v>357</v>
      </c>
      <c r="E176" s="8" t="s">
        <v>358</v>
      </c>
      <c r="F176" s="46" t="s">
        <v>146</v>
      </c>
      <c r="G176" s="9"/>
    </row>
    <row r="177" spans="1:7" ht="29.15" customHeight="1">
      <c r="A177" s="7">
        <v>127</v>
      </c>
      <c r="B177" s="7" t="str">
        <f>DEC2HEX(A177, 2)</f>
        <v>7F</v>
      </c>
      <c r="C177" s="30" t="s">
        <v>18</v>
      </c>
      <c r="D177" s="9" t="s">
        <v>359</v>
      </c>
      <c r="E177" s="8" t="s">
        <v>360</v>
      </c>
      <c r="F177" s="46" t="s">
        <v>361</v>
      </c>
      <c r="G177" s="9"/>
    </row>
    <row r="178" spans="1:7">
      <c r="F178" s="51" t="s">
        <v>361</v>
      </c>
    </row>
    <row r="179" spans="1:7">
      <c r="F179" s="51" t="s">
        <v>361</v>
      </c>
    </row>
    <row r="180" spans="1:7">
      <c r="F180" s="51" t="s">
        <v>361</v>
      </c>
    </row>
    <row r="181" spans="1:7">
      <c r="F181" s="51" t="s">
        <v>361</v>
      </c>
    </row>
  </sheetData>
  <mergeCells count="75">
    <mergeCell ref="A4:A7"/>
    <mergeCell ref="E45:E52"/>
    <mergeCell ref="E101:E108"/>
    <mergeCell ref="A171:A172"/>
    <mergeCell ref="B21:B25"/>
    <mergeCell ref="B141:B142"/>
    <mergeCell ref="B126:B127"/>
    <mergeCell ref="B75:B76"/>
    <mergeCell ref="A161:A162"/>
    <mergeCell ref="E114:E116"/>
    <mergeCell ref="B4:B7"/>
    <mergeCell ref="B11:B15"/>
    <mergeCell ref="A16:A20"/>
    <mergeCell ref="A53:A60"/>
    <mergeCell ref="E85:E92"/>
    <mergeCell ref="B79:B84"/>
    <mergeCell ref="A11:A15"/>
    <mergeCell ref="B101:B108"/>
    <mergeCell ref="A85:A92"/>
    <mergeCell ref="B111:B113"/>
    <mergeCell ref="B37:B44"/>
    <mergeCell ref="A101:A108"/>
    <mergeCell ref="B53:B60"/>
    <mergeCell ref="B171:B172"/>
    <mergeCell ref="A141:A142"/>
    <mergeCell ref="E139:E143"/>
    <mergeCell ref="B69:B74"/>
    <mergeCell ref="B146:B147"/>
    <mergeCell ref="A156:A157"/>
    <mergeCell ref="E164:E168"/>
    <mergeCell ref="B16:B20"/>
    <mergeCell ref="B128:B129"/>
    <mergeCell ref="A166:A167"/>
    <mergeCell ref="E111:E113"/>
    <mergeCell ref="E120:E121"/>
    <mergeCell ref="B26:B30"/>
    <mergeCell ref="A120:A121"/>
    <mergeCell ref="A37:A44"/>
    <mergeCell ref="E169:E173"/>
    <mergeCell ref="E93:E100"/>
    <mergeCell ref="A146:A147"/>
    <mergeCell ref="B120:B121"/>
    <mergeCell ref="E154:E158"/>
    <mergeCell ref="B161:B162"/>
    <mergeCell ref="B114:B116"/>
    <mergeCell ref="E144:E148"/>
    <mergeCell ref="A111:A113"/>
    <mergeCell ref="B166:B167"/>
    <mergeCell ref="B151:B152"/>
    <mergeCell ref="A136:A137"/>
    <mergeCell ref="E134:E138"/>
    <mergeCell ref="A114:A116"/>
    <mergeCell ref="A126:A127"/>
    <mergeCell ref="E159:E163"/>
    <mergeCell ref="E149:E153"/>
    <mergeCell ref="E53:E60"/>
    <mergeCell ref="B156:B157"/>
    <mergeCell ref="A8:A10"/>
    <mergeCell ref="A21:A25"/>
    <mergeCell ref="B31:B36"/>
    <mergeCell ref="B136:B137"/>
    <mergeCell ref="B85:B92"/>
    <mergeCell ref="A26:A30"/>
    <mergeCell ref="A79:A84"/>
    <mergeCell ref="A45:A52"/>
    <mergeCell ref="A75:A76"/>
    <mergeCell ref="A69:A74"/>
    <mergeCell ref="B93:B100"/>
    <mergeCell ref="A151:A152"/>
    <mergeCell ref="B8:B10"/>
    <mergeCell ref="A31:A36"/>
    <mergeCell ref="B45:B52"/>
    <mergeCell ref="A128:A129"/>
    <mergeCell ref="A93:A100"/>
    <mergeCell ref="E37:E44"/>
  </mergeCells>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38"/>
  <sheetViews>
    <sheetView zoomScaleNormal="100" workbookViewId="0">
      <pane xSplit="5" ySplit="1" topLeftCell="F2" activePane="bottomRight" state="frozen"/>
      <selection pane="topRight" activeCell="D121" sqref="D121:F121"/>
      <selection pane="bottomLeft" activeCell="D121" sqref="D121:F121"/>
      <selection pane="bottomRight" activeCell="G35" sqref="G35"/>
    </sheetView>
  </sheetViews>
  <sheetFormatPr defaultColWidth="8.54296875" defaultRowHeight="14.5"/>
  <cols>
    <col min="1" max="1" width="8.453125" style="3" bestFit="1" customWidth="1"/>
    <col min="2" max="2" width="8.453125" style="3" customWidth="1"/>
    <col min="3" max="3" width="10.1796875" style="3" bestFit="1" customWidth="1"/>
    <col min="4" max="4" width="4.453125" style="3" bestFit="1" customWidth="1"/>
    <col min="5" max="5" width="37.81640625" style="5" bestFit="1" customWidth="1"/>
    <col min="6" max="6" width="8.1796875" style="5" bestFit="1" customWidth="1"/>
    <col min="7" max="7" width="20" style="13" customWidth="1"/>
    <col min="8" max="8" width="52.26953125" style="43" bestFit="1" customWidth="1"/>
    <col min="9" max="9" width="20" style="43" customWidth="1"/>
    <col min="10" max="10" width="58.81640625" style="5" bestFit="1" customWidth="1"/>
    <col min="11" max="11" width="8.54296875" style="16" customWidth="1"/>
  </cols>
  <sheetData>
    <row r="1" spans="1:8">
      <c r="A1" s="6" t="s">
        <v>0</v>
      </c>
      <c r="B1" s="6" t="s">
        <v>1</v>
      </c>
      <c r="C1" s="6" t="s">
        <v>362</v>
      </c>
      <c r="D1" s="10" t="s">
        <v>2</v>
      </c>
      <c r="E1" s="4" t="s">
        <v>3</v>
      </c>
      <c r="F1" s="4" t="s">
        <v>4</v>
      </c>
      <c r="G1" s="6" t="s">
        <v>5</v>
      </c>
      <c r="H1" s="4" t="s">
        <v>6</v>
      </c>
    </row>
    <row r="2" spans="1:8">
      <c r="A2" s="7">
        <v>128</v>
      </c>
      <c r="B2" s="7" t="str">
        <f>DEC2HEX(A2, 2)</f>
        <v>80</v>
      </c>
      <c r="C2" s="7">
        <v>1</v>
      </c>
      <c r="D2" s="7" t="s">
        <v>18</v>
      </c>
      <c r="E2" s="9" t="s">
        <v>114</v>
      </c>
      <c r="F2" s="9" t="s">
        <v>115</v>
      </c>
      <c r="G2" s="47" t="s">
        <v>116</v>
      </c>
      <c r="H2" s="9" t="s">
        <v>117</v>
      </c>
    </row>
    <row r="3" spans="1:8">
      <c r="A3" s="7" t="s">
        <v>363</v>
      </c>
      <c r="B3" s="7" t="s">
        <v>364</v>
      </c>
      <c r="C3" s="7">
        <v>16</v>
      </c>
      <c r="D3" s="7" t="s">
        <v>18</v>
      </c>
      <c r="E3" s="9" t="s">
        <v>365</v>
      </c>
      <c r="F3" s="9" t="s">
        <v>115</v>
      </c>
      <c r="G3" s="47" t="s">
        <v>366</v>
      </c>
      <c r="H3" s="9"/>
    </row>
    <row r="4" spans="1:8">
      <c r="A4" s="7" t="s">
        <v>367</v>
      </c>
      <c r="B4" s="7" t="s">
        <v>368</v>
      </c>
      <c r="C4" s="7">
        <v>3</v>
      </c>
      <c r="D4" s="7" t="s">
        <v>18</v>
      </c>
      <c r="E4" s="9" t="s">
        <v>369</v>
      </c>
      <c r="F4" s="9" t="s">
        <v>115</v>
      </c>
      <c r="G4" s="47" t="s">
        <v>370</v>
      </c>
      <c r="H4" s="9"/>
    </row>
    <row r="5" spans="1:8">
      <c r="A5" s="7" t="s">
        <v>371</v>
      </c>
      <c r="B5" s="7" t="s">
        <v>372</v>
      </c>
      <c r="C5" s="7">
        <v>16</v>
      </c>
      <c r="D5" s="7" t="s">
        <v>18</v>
      </c>
      <c r="E5" s="9" t="s">
        <v>373</v>
      </c>
      <c r="F5" s="9" t="s">
        <v>115</v>
      </c>
      <c r="G5" s="47" t="s">
        <v>374</v>
      </c>
      <c r="H5" s="9"/>
    </row>
    <row r="6" spans="1:8">
      <c r="A6" s="7" t="s">
        <v>375</v>
      </c>
      <c r="B6" s="7" t="s">
        <v>376</v>
      </c>
      <c r="C6" s="7">
        <v>2</v>
      </c>
      <c r="D6" s="7" t="s">
        <v>18</v>
      </c>
      <c r="E6" s="9" t="s">
        <v>377</v>
      </c>
      <c r="F6" s="9" t="s">
        <v>115</v>
      </c>
      <c r="G6" s="47" t="s">
        <v>378</v>
      </c>
      <c r="H6" s="9"/>
    </row>
    <row r="7" spans="1:8">
      <c r="A7" s="7" t="s">
        <v>379</v>
      </c>
      <c r="B7" s="7" t="s">
        <v>380</v>
      </c>
      <c r="C7" s="7">
        <v>16</v>
      </c>
      <c r="D7" s="7" t="s">
        <v>18</v>
      </c>
      <c r="E7" s="9" t="s">
        <v>381</v>
      </c>
      <c r="F7" s="9" t="s">
        <v>115</v>
      </c>
      <c r="G7" s="47" t="s">
        <v>382</v>
      </c>
      <c r="H7" s="9"/>
    </row>
    <row r="8" spans="1:8">
      <c r="A8" s="7" t="s">
        <v>383</v>
      </c>
      <c r="B8" s="7" t="s">
        <v>384</v>
      </c>
      <c r="C8" s="7">
        <v>8</v>
      </c>
      <c r="D8" s="7">
        <v>50</v>
      </c>
      <c r="E8" s="9" t="s">
        <v>385</v>
      </c>
      <c r="F8" s="9" t="s">
        <v>115</v>
      </c>
      <c r="G8" s="47" t="s">
        <v>386</v>
      </c>
      <c r="H8" s="9"/>
    </row>
    <row r="9" spans="1:8">
      <c r="A9" s="7" t="s">
        <v>387</v>
      </c>
      <c r="B9" s="7" t="s">
        <v>388</v>
      </c>
      <c r="C9" s="7">
        <v>10</v>
      </c>
      <c r="D9" s="7" t="s">
        <v>18</v>
      </c>
      <c r="E9" s="9" t="s">
        <v>389</v>
      </c>
      <c r="F9" s="9" t="s">
        <v>115</v>
      </c>
      <c r="G9" s="47" t="s">
        <v>390</v>
      </c>
      <c r="H9" s="9" t="s">
        <v>391</v>
      </c>
    </row>
    <row r="10" spans="1:8">
      <c r="A10" s="107">
        <v>200</v>
      </c>
      <c r="B10" s="107" t="str">
        <f>DEC2HEX(A10, 2)</f>
        <v>C8</v>
      </c>
      <c r="C10" s="107">
        <v>1</v>
      </c>
      <c r="D10" s="2" t="s">
        <v>392</v>
      </c>
      <c r="E10" s="9" t="s">
        <v>393</v>
      </c>
      <c r="F10" s="9" t="s">
        <v>115</v>
      </c>
      <c r="G10" s="47" t="s">
        <v>394</v>
      </c>
      <c r="H10" s="31"/>
    </row>
    <row r="11" spans="1:8">
      <c r="A11" s="106"/>
      <c r="B11" s="106"/>
      <c r="C11" s="106"/>
      <c r="D11" s="7" t="s">
        <v>395</v>
      </c>
      <c r="E11" s="9" t="s">
        <v>8</v>
      </c>
      <c r="F11" s="9" t="s">
        <v>9</v>
      </c>
      <c r="G11" s="52" t="s">
        <v>10</v>
      </c>
      <c r="H11" s="32"/>
    </row>
    <row r="12" spans="1:8">
      <c r="A12" s="7">
        <v>201</v>
      </c>
      <c r="B12" s="7" t="str">
        <f>DEC2HEX(A12, 2)</f>
        <v>C9</v>
      </c>
      <c r="C12" s="7">
        <v>1</v>
      </c>
      <c r="D12" s="7" t="s">
        <v>18</v>
      </c>
      <c r="E12" s="9" t="s">
        <v>396</v>
      </c>
      <c r="F12" s="9" t="s">
        <v>115</v>
      </c>
      <c r="G12" s="47" t="s">
        <v>397</v>
      </c>
      <c r="H12" s="9" t="s">
        <v>398</v>
      </c>
    </row>
    <row r="13" spans="1:8">
      <c r="A13" s="107">
        <v>202</v>
      </c>
      <c r="B13" s="107" t="str">
        <f>DEC2HEX(A13, 2)</f>
        <v>CA</v>
      </c>
      <c r="C13" s="107">
        <v>1</v>
      </c>
      <c r="D13" s="2" t="s">
        <v>399</v>
      </c>
      <c r="E13" s="9" t="s">
        <v>400</v>
      </c>
      <c r="F13" s="9" t="s">
        <v>115</v>
      </c>
      <c r="G13" s="52" t="s">
        <v>32</v>
      </c>
      <c r="H13" s="32" t="s">
        <v>401</v>
      </c>
    </row>
    <row r="14" spans="1:8">
      <c r="A14" s="106"/>
      <c r="B14" s="106"/>
      <c r="C14" s="106"/>
      <c r="D14" s="7" t="s">
        <v>35</v>
      </c>
      <c r="E14" s="9" t="s">
        <v>402</v>
      </c>
      <c r="F14" s="12"/>
      <c r="G14" s="52" t="s">
        <v>36</v>
      </c>
      <c r="H14" s="32" t="s">
        <v>401</v>
      </c>
    </row>
    <row r="15" spans="1:8">
      <c r="A15" s="7">
        <v>203</v>
      </c>
      <c r="B15" s="7" t="str">
        <f t="shared" ref="B15:B22" si="0">DEC2HEX(A15, 2)</f>
        <v>CB</v>
      </c>
      <c r="C15" s="7">
        <v>1</v>
      </c>
      <c r="D15" s="7" t="s">
        <v>18</v>
      </c>
      <c r="E15" s="9" t="s">
        <v>403</v>
      </c>
      <c r="F15" s="9" t="s">
        <v>115</v>
      </c>
      <c r="G15" s="47" t="s">
        <v>134</v>
      </c>
      <c r="H15" s="9" t="s">
        <v>404</v>
      </c>
    </row>
    <row r="16" spans="1:8">
      <c r="A16" s="7">
        <v>204</v>
      </c>
      <c r="B16" s="7" t="str">
        <f t="shared" si="0"/>
        <v>CC</v>
      </c>
      <c r="C16" s="7">
        <v>1</v>
      </c>
      <c r="D16" s="7" t="s">
        <v>18</v>
      </c>
      <c r="E16" s="9" t="s">
        <v>405</v>
      </c>
      <c r="F16" s="9" t="s">
        <v>406</v>
      </c>
      <c r="G16" s="47" t="s">
        <v>146</v>
      </c>
      <c r="H16" s="9" t="s">
        <v>407</v>
      </c>
    </row>
    <row r="17" spans="1:8">
      <c r="A17" s="7">
        <v>205</v>
      </c>
      <c r="B17" s="7" t="str">
        <f t="shared" si="0"/>
        <v>CD</v>
      </c>
      <c r="C17" s="7">
        <v>1</v>
      </c>
      <c r="D17" s="7" t="s">
        <v>18</v>
      </c>
      <c r="E17" s="9" t="s">
        <v>408</v>
      </c>
      <c r="F17" s="9" t="s">
        <v>406</v>
      </c>
      <c r="G17" s="47" t="s">
        <v>146</v>
      </c>
      <c r="H17" s="9" t="s">
        <v>407</v>
      </c>
    </row>
    <row r="18" spans="1:8">
      <c r="A18" s="7">
        <v>206</v>
      </c>
      <c r="B18" s="7" t="str">
        <f t="shared" si="0"/>
        <v>CE</v>
      </c>
      <c r="C18" s="7">
        <v>1</v>
      </c>
      <c r="D18" s="7" t="s">
        <v>18</v>
      </c>
      <c r="E18" s="9" t="s">
        <v>409</v>
      </c>
      <c r="F18" s="9" t="s">
        <v>406</v>
      </c>
      <c r="G18" s="47" t="s">
        <v>146</v>
      </c>
      <c r="H18" s="9" t="s">
        <v>407</v>
      </c>
    </row>
    <row r="19" spans="1:8">
      <c r="A19" s="7">
        <v>207</v>
      </c>
      <c r="B19" s="7" t="str">
        <f t="shared" si="0"/>
        <v>CF</v>
      </c>
      <c r="C19" s="7">
        <v>1</v>
      </c>
      <c r="D19" s="7" t="s">
        <v>18</v>
      </c>
      <c r="E19" s="9" t="s">
        <v>410</v>
      </c>
      <c r="F19" s="9" t="s">
        <v>406</v>
      </c>
      <c r="G19" s="47" t="s">
        <v>146</v>
      </c>
      <c r="H19" s="9" t="s">
        <v>407</v>
      </c>
    </row>
    <row r="20" spans="1:8">
      <c r="A20" s="7">
        <v>208</v>
      </c>
      <c r="B20" s="7" t="str">
        <f t="shared" si="0"/>
        <v>D0</v>
      </c>
      <c r="C20" s="7">
        <v>1</v>
      </c>
      <c r="D20" s="7" t="s">
        <v>18</v>
      </c>
      <c r="E20" s="9" t="s">
        <v>411</v>
      </c>
      <c r="F20" s="9" t="s">
        <v>406</v>
      </c>
      <c r="G20" s="47" t="s">
        <v>146</v>
      </c>
      <c r="H20" s="9"/>
    </row>
    <row r="21" spans="1:8">
      <c r="A21" s="7">
        <v>209</v>
      </c>
      <c r="B21" s="7" t="str">
        <f t="shared" si="0"/>
        <v>D1</v>
      </c>
      <c r="C21" s="7">
        <v>1</v>
      </c>
      <c r="D21" s="7" t="s">
        <v>18</v>
      </c>
      <c r="E21" s="9" t="s">
        <v>8</v>
      </c>
      <c r="F21" s="9" t="s">
        <v>9</v>
      </c>
      <c r="G21" s="47" t="s">
        <v>146</v>
      </c>
      <c r="H21" s="9"/>
    </row>
    <row r="22" spans="1:8">
      <c r="A22" s="107">
        <v>210</v>
      </c>
      <c r="B22" s="107" t="str">
        <f t="shared" si="0"/>
        <v>D2</v>
      </c>
      <c r="C22" s="107">
        <v>1</v>
      </c>
      <c r="D22" s="7">
        <v>7</v>
      </c>
      <c r="E22" s="9" t="s">
        <v>412</v>
      </c>
      <c r="F22" s="112" t="s">
        <v>115</v>
      </c>
      <c r="G22" s="47" t="s">
        <v>137</v>
      </c>
      <c r="H22" s="9" t="s">
        <v>413</v>
      </c>
    </row>
    <row r="23" spans="1:8">
      <c r="A23" s="105"/>
      <c r="B23" s="105"/>
      <c r="C23" s="105"/>
      <c r="D23" s="7">
        <v>6</v>
      </c>
      <c r="E23" s="9" t="s">
        <v>414</v>
      </c>
      <c r="F23" s="105"/>
      <c r="G23" s="47" t="s">
        <v>137</v>
      </c>
      <c r="H23" s="9" t="s">
        <v>415</v>
      </c>
    </row>
    <row r="24" spans="1:8">
      <c r="A24" s="105"/>
      <c r="B24" s="105"/>
      <c r="C24" s="105"/>
      <c r="D24" s="7">
        <v>5</v>
      </c>
      <c r="E24" s="9" t="s">
        <v>416</v>
      </c>
      <c r="F24" s="105"/>
      <c r="G24" s="47" t="s">
        <v>137</v>
      </c>
      <c r="H24" s="9" t="s">
        <v>417</v>
      </c>
    </row>
    <row r="25" spans="1:8">
      <c r="A25" s="105"/>
      <c r="B25" s="105"/>
      <c r="C25" s="105"/>
      <c r="D25" s="7">
        <v>4</v>
      </c>
      <c r="E25" s="9" t="s">
        <v>418</v>
      </c>
      <c r="F25" s="105"/>
      <c r="G25" s="47" t="s">
        <v>137</v>
      </c>
      <c r="H25" s="9" t="s">
        <v>419</v>
      </c>
    </row>
    <row r="26" spans="1:8">
      <c r="A26" s="105"/>
      <c r="B26" s="105"/>
      <c r="C26" s="105"/>
      <c r="D26" s="7">
        <v>3</v>
      </c>
      <c r="E26" s="9" t="s">
        <v>420</v>
      </c>
      <c r="F26" s="105"/>
      <c r="G26" s="47" t="s">
        <v>137</v>
      </c>
      <c r="H26" s="9" t="s">
        <v>421</v>
      </c>
    </row>
    <row r="27" spans="1:8">
      <c r="A27" s="105"/>
      <c r="B27" s="105"/>
      <c r="C27" s="105"/>
      <c r="D27" s="7">
        <v>2</v>
      </c>
      <c r="E27" s="9" t="s">
        <v>422</v>
      </c>
      <c r="F27" s="105"/>
      <c r="G27" s="47" t="s">
        <v>137</v>
      </c>
      <c r="H27" s="9" t="s">
        <v>423</v>
      </c>
    </row>
    <row r="28" spans="1:8">
      <c r="A28" s="105"/>
      <c r="B28" s="105"/>
      <c r="C28" s="105"/>
      <c r="D28" s="7">
        <v>1</v>
      </c>
      <c r="E28" s="9" t="s">
        <v>424</v>
      </c>
      <c r="F28" s="105"/>
      <c r="G28" s="47" t="s">
        <v>137</v>
      </c>
      <c r="H28" s="9" t="s">
        <v>425</v>
      </c>
    </row>
    <row r="29" spans="1:8">
      <c r="A29" s="106"/>
      <c r="B29" s="106"/>
      <c r="C29" s="106"/>
      <c r="D29" s="7">
        <v>0</v>
      </c>
      <c r="E29" s="9" t="s">
        <v>426</v>
      </c>
      <c r="F29" s="106"/>
      <c r="G29" s="47" t="s">
        <v>427</v>
      </c>
      <c r="H29" s="9" t="s">
        <v>428</v>
      </c>
    </row>
    <row r="30" spans="1:8">
      <c r="A30" s="107">
        <v>211</v>
      </c>
      <c r="B30" s="107" t="str">
        <f>DEC2HEX(A30, 2)</f>
        <v>D3</v>
      </c>
      <c r="C30" s="107">
        <v>1</v>
      </c>
      <c r="D30" s="2" t="s">
        <v>392</v>
      </c>
      <c r="E30" s="9" t="s">
        <v>8</v>
      </c>
      <c r="F30" s="9" t="s">
        <v>9</v>
      </c>
      <c r="G30" s="47" t="s">
        <v>160</v>
      </c>
      <c r="H30" s="9"/>
    </row>
    <row r="31" spans="1:8">
      <c r="A31" s="106"/>
      <c r="B31" s="106"/>
      <c r="C31" s="106"/>
      <c r="D31" s="7" t="s">
        <v>395</v>
      </c>
      <c r="E31" s="9" t="s">
        <v>429</v>
      </c>
      <c r="F31" s="9" t="s">
        <v>406</v>
      </c>
      <c r="G31" s="47" t="s">
        <v>10</v>
      </c>
      <c r="H31" s="9" t="s">
        <v>430</v>
      </c>
    </row>
    <row r="32" spans="1:8">
      <c r="A32" s="7">
        <v>212</v>
      </c>
      <c r="B32" s="7" t="str">
        <f>DEC2HEX(A32, 2)</f>
        <v>D4</v>
      </c>
      <c r="C32" s="7">
        <v>1</v>
      </c>
      <c r="D32" s="7" t="s">
        <v>18</v>
      </c>
      <c r="E32" s="33" t="s">
        <v>431</v>
      </c>
      <c r="F32" s="9" t="s">
        <v>115</v>
      </c>
      <c r="G32" s="47" t="s">
        <v>432</v>
      </c>
      <c r="H32" s="9"/>
    </row>
    <row r="33" spans="1:8">
      <c r="A33" s="107">
        <v>213</v>
      </c>
      <c r="B33" s="107" t="str">
        <f>DEC2HEX(A33, 2)</f>
        <v>D5</v>
      </c>
      <c r="C33" s="107">
        <v>1</v>
      </c>
      <c r="D33" s="7">
        <v>7</v>
      </c>
      <c r="E33" s="9" t="s">
        <v>433</v>
      </c>
      <c r="F33" s="9" t="s">
        <v>115</v>
      </c>
      <c r="G33" s="47" t="s">
        <v>12</v>
      </c>
      <c r="H33" s="9"/>
    </row>
    <row r="34" spans="1:8">
      <c r="A34" s="106"/>
      <c r="B34" s="106"/>
      <c r="C34" s="106"/>
      <c r="D34" s="7" t="s">
        <v>434</v>
      </c>
      <c r="E34" s="9" t="s">
        <v>435</v>
      </c>
      <c r="F34" s="9" t="s">
        <v>115</v>
      </c>
      <c r="G34" s="47" t="s">
        <v>436</v>
      </c>
      <c r="H34" s="9"/>
    </row>
    <row r="35" spans="1:8">
      <c r="A35" s="7" t="s">
        <v>437</v>
      </c>
      <c r="B35" s="18" t="s">
        <v>438</v>
      </c>
      <c r="C35" s="7">
        <v>7</v>
      </c>
      <c r="D35" s="7" t="s">
        <v>18</v>
      </c>
      <c r="E35" s="9" t="s">
        <v>439</v>
      </c>
      <c r="F35" s="9"/>
      <c r="G35" s="47" t="s">
        <v>440</v>
      </c>
      <c r="H35" s="9"/>
    </row>
    <row r="36" spans="1:8">
      <c r="A36" s="7">
        <v>221</v>
      </c>
      <c r="B36" s="7" t="str">
        <f>DEC2HEX(A36, 2)</f>
        <v>DD</v>
      </c>
      <c r="C36" s="7">
        <v>1</v>
      </c>
      <c r="D36" s="7" t="s">
        <v>18</v>
      </c>
      <c r="E36" s="9" t="s">
        <v>191</v>
      </c>
      <c r="F36" s="9"/>
      <c r="G36" s="47" t="s">
        <v>146</v>
      </c>
      <c r="H36" s="9"/>
    </row>
    <row r="37" spans="1:8">
      <c r="A37" s="7">
        <v>222</v>
      </c>
      <c r="B37" s="7" t="str">
        <f>DEC2HEX(A37, 2)</f>
        <v>DE</v>
      </c>
      <c r="C37" s="7">
        <v>1</v>
      </c>
      <c r="D37" s="7" t="s">
        <v>18</v>
      </c>
      <c r="E37" s="9" t="s">
        <v>441</v>
      </c>
      <c r="F37" s="9"/>
      <c r="G37" s="47" t="s">
        <v>442</v>
      </c>
      <c r="H37" s="9"/>
    </row>
    <row r="38" spans="1:8">
      <c r="A38" s="7" t="s">
        <v>443</v>
      </c>
      <c r="B38" s="18" t="s">
        <v>444</v>
      </c>
      <c r="C38" s="7">
        <v>33</v>
      </c>
      <c r="D38" s="7" t="s">
        <v>18</v>
      </c>
      <c r="E38" s="9" t="s">
        <v>445</v>
      </c>
      <c r="F38" s="9"/>
      <c r="G38" s="47" t="s">
        <v>446</v>
      </c>
      <c r="H38" s="9"/>
    </row>
  </sheetData>
  <mergeCells count="16">
    <mergeCell ref="F22:F29"/>
    <mergeCell ref="A10:A11"/>
    <mergeCell ref="B33:B34"/>
    <mergeCell ref="C13:C14"/>
    <mergeCell ref="B30:B31"/>
    <mergeCell ref="C10:C11"/>
    <mergeCell ref="B10:B11"/>
    <mergeCell ref="A22:A29"/>
    <mergeCell ref="B22:B29"/>
    <mergeCell ref="A30:A31"/>
    <mergeCell ref="C22:C29"/>
    <mergeCell ref="C30:C31"/>
    <mergeCell ref="A13:A14"/>
    <mergeCell ref="B13:B14"/>
    <mergeCell ref="C33:C34"/>
    <mergeCell ref="A33:A34"/>
  </mergeCells>
  <pageMargins left="0.7" right="0.7" top="0.75" bottom="0.75"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172"/>
  <sheetViews>
    <sheetView zoomScaleNormal="100" workbookViewId="0">
      <pane xSplit="4" ySplit="1" topLeftCell="E2" activePane="bottomRight" state="frozen"/>
      <selection pane="topRight" activeCell="D121" sqref="D121:F121"/>
      <selection pane="bottomLeft" activeCell="D121" sqref="D121:F121"/>
      <selection pane="bottomRight" activeCell="E2" sqref="E2"/>
    </sheetView>
  </sheetViews>
  <sheetFormatPr defaultRowHeight="14.5"/>
  <cols>
    <col min="1" max="1" width="8.453125" style="3" bestFit="1" customWidth="1"/>
    <col min="2" max="2" width="8.453125" style="3" customWidth="1"/>
    <col min="3" max="3" width="7.1796875" style="41" bestFit="1" customWidth="1"/>
    <col min="4" max="4" width="37.453125" style="5" bestFit="1" customWidth="1"/>
    <col min="5" max="5" width="8.1796875" style="5" bestFit="1" customWidth="1"/>
    <col min="6" max="6" width="19.453125" style="3" customWidth="1"/>
    <col min="7" max="7" width="43.81640625" style="66" customWidth="1"/>
    <col min="8" max="8" width="19.453125" style="41" customWidth="1"/>
    <col min="9" max="9" width="111.54296875" style="5" customWidth="1"/>
    <col min="10" max="10" width="16" bestFit="1" customWidth="1"/>
  </cols>
  <sheetData>
    <row r="1" spans="1:8">
      <c r="A1" s="6" t="s">
        <v>0</v>
      </c>
      <c r="B1" s="6" t="s">
        <v>1</v>
      </c>
      <c r="C1" s="39" t="s">
        <v>2</v>
      </c>
      <c r="D1" s="4" t="s">
        <v>3</v>
      </c>
      <c r="E1" s="4" t="s">
        <v>4</v>
      </c>
      <c r="F1" s="6" t="s">
        <v>5</v>
      </c>
      <c r="G1" s="64" t="s">
        <v>6</v>
      </c>
    </row>
    <row r="2" spans="1:8">
      <c r="A2" s="7">
        <v>128</v>
      </c>
      <c r="B2" s="7" t="str">
        <f>DEC2HEX(A2, 2)</f>
        <v>80</v>
      </c>
      <c r="C2" s="30" t="s">
        <v>18</v>
      </c>
      <c r="D2" s="9" t="s">
        <v>447</v>
      </c>
      <c r="E2" s="9" t="s">
        <v>115</v>
      </c>
      <c r="F2" s="47" t="s">
        <v>274</v>
      </c>
      <c r="G2" s="8"/>
    </row>
    <row r="3" spans="1:8">
      <c r="A3" s="7">
        <v>129</v>
      </c>
      <c r="B3" s="7" t="str">
        <f>DEC2HEX(A3, 2)</f>
        <v>81</v>
      </c>
      <c r="C3" s="30" t="s">
        <v>18</v>
      </c>
      <c r="D3" s="9" t="s">
        <v>448</v>
      </c>
      <c r="E3" s="9" t="s">
        <v>115</v>
      </c>
      <c r="F3" s="47" t="s">
        <v>146</v>
      </c>
      <c r="G3" s="8"/>
    </row>
    <row r="4" spans="1:8">
      <c r="A4" s="7">
        <v>130</v>
      </c>
      <c r="B4" s="7" t="str">
        <f>DEC2HEX(A4, 2)</f>
        <v>82</v>
      </c>
      <c r="C4" s="30" t="s">
        <v>18</v>
      </c>
      <c r="D4" s="9" t="s">
        <v>449</v>
      </c>
      <c r="E4" s="9" t="s">
        <v>115</v>
      </c>
      <c r="F4" s="47" t="s">
        <v>146</v>
      </c>
      <c r="G4" s="8"/>
    </row>
    <row r="5" spans="1:8">
      <c r="A5" s="7">
        <v>131</v>
      </c>
      <c r="B5" s="7" t="str">
        <f>DEC2HEX(A5, 2)</f>
        <v>83</v>
      </c>
      <c r="C5" s="30" t="s">
        <v>18</v>
      </c>
      <c r="D5" s="9" t="s">
        <v>450</v>
      </c>
      <c r="E5" s="9" t="s">
        <v>115</v>
      </c>
      <c r="F5" s="47" t="s">
        <v>451</v>
      </c>
      <c r="G5" s="8"/>
    </row>
    <row r="6" spans="1:8">
      <c r="A6" s="107">
        <v>132</v>
      </c>
      <c r="B6" s="107" t="str">
        <f>DEC2HEX(A6, 2)</f>
        <v>84</v>
      </c>
      <c r="C6" s="40" t="s">
        <v>399</v>
      </c>
      <c r="D6" s="9" t="s">
        <v>452</v>
      </c>
      <c r="E6" s="9" t="s">
        <v>115</v>
      </c>
      <c r="F6" s="47" t="s">
        <v>453</v>
      </c>
      <c r="G6" s="8"/>
    </row>
    <row r="7" spans="1:8">
      <c r="A7" s="106"/>
      <c r="B7" s="106"/>
      <c r="C7" s="30" t="s">
        <v>35</v>
      </c>
      <c r="D7" s="9" t="s">
        <v>454</v>
      </c>
      <c r="E7" s="9" t="s">
        <v>115</v>
      </c>
      <c r="F7" s="47" t="s">
        <v>455</v>
      </c>
      <c r="G7" s="8" t="s">
        <v>456</v>
      </c>
    </row>
    <row r="8" spans="1:8">
      <c r="A8" s="7">
        <v>133</v>
      </c>
      <c r="B8" s="7" t="str">
        <f>DEC2HEX(A8, 2)</f>
        <v>85</v>
      </c>
      <c r="C8" s="30" t="s">
        <v>18</v>
      </c>
      <c r="D8" s="9" t="s">
        <v>457</v>
      </c>
      <c r="E8" s="9" t="s">
        <v>115</v>
      </c>
      <c r="F8" s="46" t="s">
        <v>146</v>
      </c>
      <c r="G8" s="8" t="s">
        <v>458</v>
      </c>
    </row>
    <row r="9" spans="1:8">
      <c r="A9" s="7">
        <v>134</v>
      </c>
      <c r="B9" s="7" t="str">
        <f>DEC2HEX(A9, 2)</f>
        <v>86</v>
      </c>
      <c r="C9" s="30" t="s">
        <v>18</v>
      </c>
      <c r="D9" s="9" t="s">
        <v>459</v>
      </c>
      <c r="E9" s="9" t="s">
        <v>115</v>
      </c>
      <c r="F9" s="46" t="s">
        <v>146</v>
      </c>
      <c r="G9" s="8" t="s">
        <v>460</v>
      </c>
    </row>
    <row r="10" spans="1:8" ht="29.15" customHeight="1">
      <c r="A10" s="7">
        <v>135</v>
      </c>
      <c r="B10" s="7" t="str">
        <f>DEC2HEX(A10, 2)</f>
        <v>87</v>
      </c>
      <c r="C10" s="30" t="s">
        <v>18</v>
      </c>
      <c r="D10" s="9" t="s">
        <v>461</v>
      </c>
      <c r="E10" s="9" t="s">
        <v>115</v>
      </c>
      <c r="F10" s="46" t="s">
        <v>146</v>
      </c>
      <c r="G10" s="8" t="s">
        <v>462</v>
      </c>
    </row>
    <row r="11" spans="1:8" ht="29.15" customHeight="1">
      <c r="A11" s="7">
        <v>136</v>
      </c>
      <c r="B11" s="7" t="str">
        <f>DEC2HEX(A11, 2)</f>
        <v>88</v>
      </c>
      <c r="C11" s="30" t="s">
        <v>18</v>
      </c>
      <c r="D11" s="9" t="s">
        <v>463</v>
      </c>
      <c r="E11" s="9" t="s">
        <v>115</v>
      </c>
      <c r="F11" s="46" t="s">
        <v>146</v>
      </c>
      <c r="G11" s="8" t="s">
        <v>464</v>
      </c>
    </row>
    <row r="12" spans="1:8">
      <c r="A12" s="7">
        <v>137</v>
      </c>
      <c r="B12" s="7" t="str">
        <f>DEC2HEX(A12, 2)</f>
        <v>89</v>
      </c>
      <c r="C12" s="30" t="s">
        <v>18</v>
      </c>
      <c r="D12" s="9" t="s">
        <v>190</v>
      </c>
      <c r="E12" s="9" t="s">
        <v>9</v>
      </c>
      <c r="F12" s="46" t="s">
        <v>146</v>
      </c>
      <c r="G12" s="8"/>
    </row>
    <row r="13" spans="1:8" ht="43.5" customHeight="1">
      <c r="A13" s="7" t="s">
        <v>465</v>
      </c>
      <c r="B13" s="18" t="s">
        <v>466</v>
      </c>
      <c r="C13" s="30" t="s">
        <v>18</v>
      </c>
      <c r="D13" s="9" t="s">
        <v>467</v>
      </c>
      <c r="E13" s="8" t="s">
        <v>406</v>
      </c>
      <c r="F13" s="47" t="s">
        <v>468</v>
      </c>
      <c r="G13" s="8" t="s">
        <v>469</v>
      </c>
    </row>
    <row r="14" spans="1:8">
      <c r="A14" s="7" t="s">
        <v>470</v>
      </c>
      <c r="B14" s="18" t="s">
        <v>471</v>
      </c>
      <c r="C14" s="30" t="s">
        <v>18</v>
      </c>
      <c r="D14" s="9" t="s">
        <v>472</v>
      </c>
      <c r="E14" s="8" t="s">
        <v>406</v>
      </c>
      <c r="F14" s="47" t="s">
        <v>473</v>
      </c>
      <c r="G14" s="8" t="s">
        <v>474</v>
      </c>
    </row>
    <row r="15" spans="1:8">
      <c r="A15" s="107">
        <v>142</v>
      </c>
      <c r="B15" s="107" t="str">
        <f>DEC2HEX(A15, 2)</f>
        <v>8E</v>
      </c>
      <c r="C15" s="30">
        <v>7</v>
      </c>
      <c r="D15" s="9" t="s">
        <v>475</v>
      </c>
      <c r="E15" s="9" t="s">
        <v>115</v>
      </c>
      <c r="F15" s="47" t="s">
        <v>12</v>
      </c>
      <c r="G15" s="8"/>
      <c r="H15" s="5"/>
    </row>
    <row r="16" spans="1:8">
      <c r="A16" s="105"/>
      <c r="B16" s="105"/>
      <c r="C16" s="30">
        <v>6</v>
      </c>
      <c r="D16" s="9" t="s">
        <v>476</v>
      </c>
      <c r="E16" s="9" t="s">
        <v>115</v>
      </c>
      <c r="F16" s="46" t="s">
        <v>137</v>
      </c>
      <c r="G16" s="8" t="s">
        <v>477</v>
      </c>
    </row>
    <row r="17" spans="1:8">
      <c r="A17" s="105"/>
      <c r="B17" s="105"/>
      <c r="C17" s="30">
        <v>5</v>
      </c>
      <c r="D17" s="9" t="s">
        <v>478</v>
      </c>
      <c r="E17" s="9" t="s">
        <v>115</v>
      </c>
      <c r="F17" s="46" t="s">
        <v>137</v>
      </c>
      <c r="G17" s="8" t="s">
        <v>479</v>
      </c>
    </row>
    <row r="18" spans="1:8">
      <c r="A18" s="105"/>
      <c r="B18" s="105"/>
      <c r="C18" s="30">
        <v>4</v>
      </c>
      <c r="D18" s="9" t="s">
        <v>8</v>
      </c>
      <c r="E18" s="9" t="s">
        <v>115</v>
      </c>
      <c r="F18" s="46" t="s">
        <v>137</v>
      </c>
      <c r="G18" s="8"/>
    </row>
    <row r="19" spans="1:8">
      <c r="A19" s="105"/>
      <c r="B19" s="105"/>
      <c r="C19" s="30">
        <v>3</v>
      </c>
      <c r="D19" s="9" t="s">
        <v>480</v>
      </c>
      <c r="E19" s="9" t="s">
        <v>115</v>
      </c>
      <c r="F19" s="47" t="s">
        <v>12</v>
      </c>
      <c r="G19" s="8"/>
      <c r="H19" s="5"/>
    </row>
    <row r="20" spans="1:8">
      <c r="A20" s="105"/>
      <c r="B20" s="105"/>
      <c r="C20" s="30">
        <v>2</v>
      </c>
      <c r="D20" s="9" t="s">
        <v>481</v>
      </c>
      <c r="E20" s="9" t="s">
        <v>115</v>
      </c>
      <c r="F20" s="46" t="s">
        <v>137</v>
      </c>
      <c r="G20" s="8" t="s">
        <v>482</v>
      </c>
    </row>
    <row r="21" spans="1:8">
      <c r="A21" s="106"/>
      <c r="B21" s="106"/>
      <c r="C21" s="30" t="s">
        <v>13</v>
      </c>
      <c r="D21" s="9" t="s">
        <v>483</v>
      </c>
      <c r="E21" s="9" t="s">
        <v>115</v>
      </c>
      <c r="F21" s="46" t="s">
        <v>32</v>
      </c>
      <c r="G21" s="8" t="s">
        <v>484</v>
      </c>
    </row>
    <row r="22" spans="1:8">
      <c r="A22" s="107">
        <v>143</v>
      </c>
      <c r="B22" s="107" t="str">
        <f>DEC2HEX(A22, 2)</f>
        <v>8F</v>
      </c>
      <c r="C22" s="40" t="s">
        <v>392</v>
      </c>
      <c r="D22" s="9" t="s">
        <v>485</v>
      </c>
      <c r="E22" s="9" t="s">
        <v>115</v>
      </c>
      <c r="F22" s="47" t="s">
        <v>160</v>
      </c>
      <c r="G22" s="8" t="s">
        <v>486</v>
      </c>
    </row>
    <row r="23" spans="1:8">
      <c r="A23" s="106"/>
      <c r="B23" s="106"/>
      <c r="C23" s="30" t="s">
        <v>395</v>
      </c>
      <c r="D23" s="9" t="s">
        <v>487</v>
      </c>
      <c r="E23" s="9" t="s">
        <v>115</v>
      </c>
      <c r="F23" s="47" t="s">
        <v>10</v>
      </c>
      <c r="G23" s="8" t="s">
        <v>486</v>
      </c>
    </row>
    <row r="24" spans="1:8">
      <c r="A24" s="107">
        <v>144</v>
      </c>
      <c r="B24" s="107" t="str">
        <f>DEC2HEX(A24, 2)</f>
        <v>90</v>
      </c>
      <c r="C24" s="40" t="s">
        <v>129</v>
      </c>
      <c r="D24" s="9" t="s">
        <v>488</v>
      </c>
      <c r="E24" s="9" t="s">
        <v>115</v>
      </c>
      <c r="F24" s="47" t="s">
        <v>489</v>
      </c>
      <c r="G24" s="8"/>
    </row>
    <row r="25" spans="1:8">
      <c r="A25" s="106"/>
      <c r="B25" s="106"/>
      <c r="C25" s="30" t="s">
        <v>227</v>
      </c>
      <c r="D25" s="9" t="s">
        <v>490</v>
      </c>
      <c r="E25" s="9" t="s">
        <v>115</v>
      </c>
      <c r="F25" s="47" t="s">
        <v>491</v>
      </c>
      <c r="G25" s="8"/>
    </row>
    <row r="26" spans="1:8">
      <c r="A26" s="107">
        <v>145</v>
      </c>
      <c r="B26" s="107" t="str">
        <f>DEC2HEX(A26, 2)</f>
        <v>91</v>
      </c>
      <c r="C26" s="30">
        <v>7</v>
      </c>
      <c r="D26" s="9" t="s">
        <v>492</v>
      </c>
      <c r="E26" s="9" t="s">
        <v>115</v>
      </c>
      <c r="F26" s="47" t="s">
        <v>137</v>
      </c>
      <c r="G26" s="8"/>
    </row>
    <row r="27" spans="1:8" ht="29.15" customHeight="1">
      <c r="A27" s="105"/>
      <c r="B27" s="105"/>
      <c r="C27" s="40" t="s">
        <v>493</v>
      </c>
      <c r="D27" s="9" t="s">
        <v>494</v>
      </c>
      <c r="E27" s="9" t="s">
        <v>115</v>
      </c>
      <c r="F27" s="46" t="s">
        <v>32</v>
      </c>
      <c r="G27" s="8" t="s">
        <v>495</v>
      </c>
    </row>
    <row r="28" spans="1:8">
      <c r="A28" s="105"/>
      <c r="B28" s="105"/>
      <c r="C28" s="30">
        <v>4</v>
      </c>
      <c r="D28" s="9" t="s">
        <v>496</v>
      </c>
      <c r="E28" s="9" t="s">
        <v>115</v>
      </c>
      <c r="F28" s="47" t="s">
        <v>12</v>
      </c>
      <c r="G28" s="8" t="s">
        <v>497</v>
      </c>
    </row>
    <row r="29" spans="1:8">
      <c r="A29" s="105"/>
      <c r="B29" s="105"/>
      <c r="C29" s="30">
        <v>3</v>
      </c>
      <c r="D29" s="9" t="s">
        <v>498</v>
      </c>
      <c r="E29" s="9" t="s">
        <v>115</v>
      </c>
      <c r="F29" s="47" t="s">
        <v>12</v>
      </c>
      <c r="G29" s="8" t="s">
        <v>499</v>
      </c>
    </row>
    <row r="30" spans="1:8" ht="29.15" customHeight="1">
      <c r="A30" s="105"/>
      <c r="B30" s="105"/>
      <c r="C30" s="30">
        <v>2</v>
      </c>
      <c r="D30" s="9" t="s">
        <v>500</v>
      </c>
      <c r="E30" s="9" t="s">
        <v>136</v>
      </c>
      <c r="F30" s="47" t="s">
        <v>12</v>
      </c>
      <c r="G30" s="8" t="s">
        <v>501</v>
      </c>
    </row>
    <row r="31" spans="1:8" ht="29.15" customHeight="1">
      <c r="A31" s="105"/>
      <c r="B31" s="105"/>
      <c r="C31" s="30">
        <v>1</v>
      </c>
      <c r="D31" s="9" t="s">
        <v>502</v>
      </c>
      <c r="E31" s="9" t="s">
        <v>136</v>
      </c>
      <c r="F31" s="47" t="s">
        <v>137</v>
      </c>
      <c r="G31" s="8" t="s">
        <v>503</v>
      </c>
    </row>
    <row r="32" spans="1:8" ht="29.15" customHeight="1">
      <c r="A32" s="106"/>
      <c r="B32" s="106"/>
      <c r="C32" s="30">
        <v>0</v>
      </c>
      <c r="D32" s="9" t="s">
        <v>504</v>
      </c>
      <c r="E32" s="9" t="s">
        <v>136</v>
      </c>
      <c r="F32" s="47" t="s">
        <v>505</v>
      </c>
      <c r="G32" s="8" t="s">
        <v>506</v>
      </c>
    </row>
    <row r="33" spans="1:8">
      <c r="A33" s="7">
        <v>146</v>
      </c>
      <c r="B33" s="7" t="str">
        <f>DEC2HEX(A33, 2)</f>
        <v>92</v>
      </c>
      <c r="C33" s="30" t="s">
        <v>18</v>
      </c>
      <c r="D33" s="9" t="s">
        <v>507</v>
      </c>
      <c r="E33" s="9" t="s">
        <v>406</v>
      </c>
      <c r="F33" s="46" t="s">
        <v>508</v>
      </c>
      <c r="G33" s="8" t="s">
        <v>509</v>
      </c>
    </row>
    <row r="34" spans="1:8">
      <c r="A34" s="7">
        <v>147</v>
      </c>
      <c r="B34" s="7" t="str">
        <f>DEC2HEX(A34, 2)</f>
        <v>93</v>
      </c>
      <c r="C34" s="30" t="s">
        <v>18</v>
      </c>
      <c r="D34" s="9" t="s">
        <v>510</v>
      </c>
      <c r="E34" s="9" t="s">
        <v>406</v>
      </c>
      <c r="F34" s="46" t="s">
        <v>146</v>
      </c>
      <c r="G34" s="8" t="s">
        <v>509</v>
      </c>
    </row>
    <row r="35" spans="1:8" ht="29.15" customHeight="1">
      <c r="A35" s="7" t="s">
        <v>511</v>
      </c>
      <c r="B35" s="18" t="s">
        <v>512</v>
      </c>
      <c r="C35" s="30" t="s">
        <v>18</v>
      </c>
      <c r="D35" s="9" t="s">
        <v>513</v>
      </c>
      <c r="E35" s="9" t="s">
        <v>406</v>
      </c>
      <c r="F35" s="46" t="s">
        <v>232</v>
      </c>
      <c r="G35" s="8" t="s">
        <v>514</v>
      </c>
      <c r="H35" s="21"/>
    </row>
    <row r="36" spans="1:8">
      <c r="A36" s="7">
        <v>150</v>
      </c>
      <c r="B36" s="7" t="str">
        <f>DEC2HEX(A36, 2)</f>
        <v>96</v>
      </c>
      <c r="C36" s="30" t="s">
        <v>18</v>
      </c>
      <c r="D36" s="9" t="s">
        <v>515</v>
      </c>
      <c r="E36" s="9" t="s">
        <v>406</v>
      </c>
      <c r="F36" s="46" t="s">
        <v>516</v>
      </c>
      <c r="G36" s="8" t="s">
        <v>517</v>
      </c>
    </row>
    <row r="37" spans="1:8">
      <c r="A37" s="107">
        <v>151</v>
      </c>
      <c r="B37" s="107" t="str">
        <f>DEC2HEX(A37, 2)</f>
        <v>97</v>
      </c>
      <c r="C37" s="30">
        <v>7</v>
      </c>
      <c r="D37" s="9" t="s">
        <v>518</v>
      </c>
      <c r="E37" s="112" t="s">
        <v>115</v>
      </c>
      <c r="F37" s="46" t="s">
        <v>12</v>
      </c>
      <c r="G37" s="8" t="s">
        <v>519</v>
      </c>
    </row>
    <row r="38" spans="1:8">
      <c r="A38" s="105"/>
      <c r="B38" s="105"/>
      <c r="C38" s="40" t="s">
        <v>493</v>
      </c>
      <c r="D38" s="9" t="s">
        <v>520</v>
      </c>
      <c r="E38" s="105"/>
      <c r="F38" s="46" t="s">
        <v>521</v>
      </c>
      <c r="G38" s="8" t="s">
        <v>522</v>
      </c>
    </row>
    <row r="39" spans="1:8">
      <c r="A39" s="105"/>
      <c r="B39" s="105"/>
      <c r="C39" s="30">
        <v>4</v>
      </c>
      <c r="D39" s="9" t="s">
        <v>523</v>
      </c>
      <c r="E39" s="105"/>
      <c r="F39" s="46" t="s">
        <v>137</v>
      </c>
      <c r="G39" s="8" t="s">
        <v>524</v>
      </c>
    </row>
    <row r="40" spans="1:8">
      <c r="A40" s="105"/>
      <c r="B40" s="105"/>
      <c r="C40" s="30">
        <v>3</v>
      </c>
      <c r="D40" s="9" t="s">
        <v>525</v>
      </c>
      <c r="E40" s="105"/>
      <c r="F40" s="46" t="s">
        <v>137</v>
      </c>
      <c r="G40" s="8" t="s">
        <v>526</v>
      </c>
    </row>
    <row r="41" spans="1:8">
      <c r="A41" s="105"/>
      <c r="B41" s="105"/>
      <c r="C41" s="30">
        <v>2</v>
      </c>
      <c r="D41" s="9" t="s">
        <v>527</v>
      </c>
      <c r="E41" s="105"/>
      <c r="F41" s="47" t="s">
        <v>12</v>
      </c>
      <c r="G41" s="8"/>
    </row>
    <row r="42" spans="1:8">
      <c r="A42" s="105"/>
      <c r="B42" s="105"/>
      <c r="C42" s="30">
        <v>1</v>
      </c>
      <c r="D42" s="9" t="s">
        <v>528</v>
      </c>
      <c r="E42" s="105"/>
      <c r="F42" s="47" t="s">
        <v>12</v>
      </c>
      <c r="G42" s="8"/>
    </row>
    <row r="43" spans="1:8">
      <c r="A43" s="106"/>
      <c r="B43" s="106"/>
      <c r="C43" s="30">
        <v>0</v>
      </c>
      <c r="D43" s="9" t="s">
        <v>529</v>
      </c>
      <c r="E43" s="106"/>
      <c r="F43" s="46" t="s">
        <v>530</v>
      </c>
      <c r="G43" s="8" t="s">
        <v>531</v>
      </c>
    </row>
    <row r="44" spans="1:8">
      <c r="A44" s="7">
        <v>152</v>
      </c>
      <c r="B44" s="7" t="str">
        <f>DEC2HEX(A44, 2)</f>
        <v>98</v>
      </c>
      <c r="C44" s="30" t="s">
        <v>18</v>
      </c>
      <c r="D44" s="9" t="s">
        <v>532</v>
      </c>
      <c r="E44" s="9" t="s">
        <v>406</v>
      </c>
      <c r="F44" s="46" t="s">
        <v>146</v>
      </c>
      <c r="G44" s="8" t="s">
        <v>533</v>
      </c>
    </row>
    <row r="45" spans="1:8">
      <c r="A45" s="107">
        <v>153</v>
      </c>
      <c r="B45" s="107" t="str">
        <f>DEC2HEX(A45, 2)</f>
        <v>99</v>
      </c>
      <c r="C45" s="30">
        <v>7</v>
      </c>
      <c r="D45" s="9" t="s">
        <v>534</v>
      </c>
      <c r="E45" s="112" t="s">
        <v>406</v>
      </c>
      <c r="F45" s="46" t="s">
        <v>137</v>
      </c>
      <c r="G45" s="8" t="s">
        <v>535</v>
      </c>
    </row>
    <row r="46" spans="1:8">
      <c r="A46" s="105"/>
      <c r="B46" s="105"/>
      <c r="C46" s="30">
        <v>6</v>
      </c>
      <c r="D46" s="9" t="s">
        <v>536</v>
      </c>
      <c r="E46" s="105"/>
      <c r="F46" s="46" t="s">
        <v>137</v>
      </c>
      <c r="G46" s="8" t="s">
        <v>537</v>
      </c>
    </row>
    <row r="47" spans="1:8">
      <c r="A47" s="105"/>
      <c r="B47" s="105"/>
      <c r="C47" s="30">
        <v>5</v>
      </c>
      <c r="D47" s="9" t="s">
        <v>538</v>
      </c>
      <c r="E47" s="105"/>
      <c r="F47" s="46" t="s">
        <v>137</v>
      </c>
      <c r="G47" s="8" t="s">
        <v>539</v>
      </c>
    </row>
    <row r="48" spans="1:8">
      <c r="A48" s="105"/>
      <c r="B48" s="105"/>
      <c r="C48" s="30">
        <v>4</v>
      </c>
      <c r="D48" s="9" t="s">
        <v>540</v>
      </c>
      <c r="E48" s="105"/>
      <c r="F48" s="46" t="s">
        <v>137</v>
      </c>
      <c r="G48" s="8" t="s">
        <v>541</v>
      </c>
    </row>
    <row r="49" spans="1:8">
      <c r="A49" s="106"/>
      <c r="B49" s="106"/>
      <c r="C49" s="30" t="s">
        <v>227</v>
      </c>
      <c r="D49" s="9" t="s">
        <v>542</v>
      </c>
      <c r="E49" s="106"/>
      <c r="F49" s="47" t="s">
        <v>30</v>
      </c>
      <c r="G49" s="8"/>
    </row>
    <row r="50" spans="1:8" ht="29.15" customHeight="1">
      <c r="A50" s="107">
        <v>154</v>
      </c>
      <c r="B50" s="107" t="str">
        <f>DEC2HEX(A50, 2)</f>
        <v>9A</v>
      </c>
      <c r="C50" s="40" t="s">
        <v>129</v>
      </c>
      <c r="D50" s="9" t="s">
        <v>543</v>
      </c>
      <c r="E50" s="112" t="s">
        <v>406</v>
      </c>
      <c r="F50" s="46" t="s">
        <v>544</v>
      </c>
      <c r="G50" s="8" t="s">
        <v>545</v>
      </c>
    </row>
    <row r="51" spans="1:8" ht="29.15" customHeight="1">
      <c r="A51" s="106"/>
      <c r="B51" s="106"/>
      <c r="C51" s="30" t="s">
        <v>227</v>
      </c>
      <c r="D51" s="9" t="s">
        <v>546</v>
      </c>
      <c r="E51" s="106"/>
      <c r="F51" s="46" t="s">
        <v>544</v>
      </c>
      <c r="G51" s="8" t="s">
        <v>547</v>
      </c>
    </row>
    <row r="52" spans="1:8">
      <c r="A52" s="107">
        <v>155</v>
      </c>
      <c r="B52" s="107" t="str">
        <f>DEC2HEX(A52, 2)</f>
        <v>9B</v>
      </c>
      <c r="C52" s="30">
        <v>7</v>
      </c>
      <c r="D52" s="9" t="s">
        <v>548</v>
      </c>
      <c r="E52" s="112" t="s">
        <v>115</v>
      </c>
      <c r="F52" s="46" t="s">
        <v>137</v>
      </c>
      <c r="G52" s="8" t="s">
        <v>549</v>
      </c>
    </row>
    <row r="53" spans="1:8">
      <c r="A53" s="105"/>
      <c r="B53" s="105"/>
      <c r="C53" s="30">
        <v>6</v>
      </c>
      <c r="D53" s="9" t="s">
        <v>550</v>
      </c>
      <c r="E53" s="105"/>
      <c r="F53" s="46" t="s">
        <v>137</v>
      </c>
      <c r="G53" s="8" t="s">
        <v>551</v>
      </c>
    </row>
    <row r="54" spans="1:8" ht="29.15" customHeight="1">
      <c r="A54" s="105"/>
      <c r="B54" s="105"/>
      <c r="C54" s="40" t="s">
        <v>552</v>
      </c>
      <c r="D54" s="9" t="s">
        <v>553</v>
      </c>
      <c r="E54" s="105"/>
      <c r="F54" s="46" t="s">
        <v>453</v>
      </c>
      <c r="G54" s="8" t="s">
        <v>554</v>
      </c>
    </row>
    <row r="55" spans="1:8" ht="29.15" customHeight="1">
      <c r="A55" s="105"/>
      <c r="B55" s="105"/>
      <c r="C55" s="30">
        <v>3</v>
      </c>
      <c r="D55" s="9" t="s">
        <v>555</v>
      </c>
      <c r="E55" s="105"/>
      <c r="F55" s="46" t="s">
        <v>137</v>
      </c>
      <c r="G55" s="8" t="s">
        <v>556</v>
      </c>
    </row>
    <row r="56" spans="1:8">
      <c r="A56" s="105"/>
      <c r="B56" s="105"/>
      <c r="C56" s="30">
        <v>2</v>
      </c>
      <c r="D56" s="9" t="s">
        <v>557</v>
      </c>
      <c r="E56" s="105"/>
      <c r="F56" s="47" t="s">
        <v>137</v>
      </c>
      <c r="G56" s="8"/>
    </row>
    <row r="57" spans="1:8" ht="29.15" customHeight="1">
      <c r="A57" s="105"/>
      <c r="B57" s="105"/>
      <c r="C57" s="30">
        <v>1</v>
      </c>
      <c r="D57" s="9" t="s">
        <v>558</v>
      </c>
      <c r="E57" s="105"/>
      <c r="F57" s="46" t="s">
        <v>137</v>
      </c>
      <c r="G57" s="8" t="s">
        <v>559</v>
      </c>
    </row>
    <row r="58" spans="1:8">
      <c r="A58" s="106"/>
      <c r="B58" s="106"/>
      <c r="C58" s="30">
        <v>0</v>
      </c>
      <c r="D58" s="9" t="s">
        <v>560</v>
      </c>
      <c r="E58" s="106"/>
      <c r="F58" s="46" t="s">
        <v>561</v>
      </c>
      <c r="G58" s="8" t="s">
        <v>562</v>
      </c>
    </row>
    <row r="59" spans="1:8">
      <c r="A59" s="107">
        <v>156</v>
      </c>
      <c r="B59" s="107" t="str">
        <f>DEC2HEX(A59, 2)</f>
        <v>9C</v>
      </c>
      <c r="C59" s="30">
        <v>7</v>
      </c>
      <c r="D59" s="9" t="s">
        <v>563</v>
      </c>
      <c r="E59" s="107" t="s">
        <v>115</v>
      </c>
      <c r="F59" s="47" t="s">
        <v>12</v>
      </c>
      <c r="G59" s="8"/>
      <c r="H59" s="5"/>
    </row>
    <row r="60" spans="1:8">
      <c r="A60" s="105"/>
      <c r="B60" s="105"/>
      <c r="C60" s="40" t="s">
        <v>564</v>
      </c>
      <c r="D60" s="9" t="s">
        <v>8</v>
      </c>
      <c r="E60" s="105"/>
      <c r="F60" s="46" t="s">
        <v>30</v>
      </c>
      <c r="G60" s="8"/>
    </row>
    <row r="61" spans="1:8">
      <c r="A61" s="105"/>
      <c r="B61" s="105"/>
      <c r="C61" s="30">
        <v>2</v>
      </c>
      <c r="D61" s="9" t="s">
        <v>565</v>
      </c>
      <c r="E61" s="105"/>
      <c r="F61" s="47" t="s">
        <v>137</v>
      </c>
      <c r="G61" s="8"/>
    </row>
    <row r="62" spans="1:8" ht="29.15" customHeight="1">
      <c r="A62" s="105"/>
      <c r="B62" s="105"/>
      <c r="C62" s="30">
        <v>1</v>
      </c>
      <c r="D62" s="9" t="s">
        <v>566</v>
      </c>
      <c r="E62" s="105"/>
      <c r="F62" s="46" t="s">
        <v>137</v>
      </c>
      <c r="G62" s="8" t="s">
        <v>567</v>
      </c>
    </row>
    <row r="63" spans="1:8">
      <c r="A63" s="106"/>
      <c r="B63" s="106"/>
      <c r="C63" s="30">
        <v>0</v>
      </c>
      <c r="D63" s="9" t="s">
        <v>568</v>
      </c>
      <c r="E63" s="106"/>
      <c r="F63" s="46" t="s">
        <v>134</v>
      </c>
      <c r="G63" s="8" t="s">
        <v>569</v>
      </c>
    </row>
    <row r="64" spans="1:8">
      <c r="A64" s="107">
        <v>157</v>
      </c>
      <c r="B64" s="107" t="str">
        <f>DEC2HEX(A64, 2)</f>
        <v>9D</v>
      </c>
      <c r="C64" s="40" t="s">
        <v>129</v>
      </c>
      <c r="D64" s="9" t="s">
        <v>8</v>
      </c>
      <c r="E64" s="9" t="s">
        <v>9</v>
      </c>
      <c r="F64" s="46" t="s">
        <v>30</v>
      </c>
      <c r="G64" s="8"/>
    </row>
    <row r="65" spans="1:7">
      <c r="A65" s="105"/>
      <c r="B65" s="105"/>
      <c r="C65" s="30">
        <v>3</v>
      </c>
      <c r="D65" s="9" t="s">
        <v>570</v>
      </c>
      <c r="E65" s="112" t="s">
        <v>115</v>
      </c>
      <c r="F65" s="47" t="s">
        <v>12</v>
      </c>
      <c r="G65" s="8"/>
    </row>
    <row r="66" spans="1:7">
      <c r="A66" s="105"/>
      <c r="B66" s="105"/>
      <c r="C66" s="30">
        <v>2</v>
      </c>
      <c r="D66" s="9" t="s">
        <v>571</v>
      </c>
      <c r="E66" s="105"/>
      <c r="F66" s="46" t="s">
        <v>137</v>
      </c>
      <c r="G66" s="8" t="s">
        <v>572</v>
      </c>
    </row>
    <row r="67" spans="1:7">
      <c r="A67" s="105"/>
      <c r="B67" s="105"/>
      <c r="C67" s="30">
        <v>1</v>
      </c>
      <c r="D67" s="9" t="s">
        <v>573</v>
      </c>
      <c r="E67" s="105"/>
      <c r="F67" s="46" t="s">
        <v>137</v>
      </c>
      <c r="G67" s="8" t="s">
        <v>572</v>
      </c>
    </row>
    <row r="68" spans="1:7">
      <c r="A68" s="106"/>
      <c r="B68" s="106"/>
      <c r="C68" s="30">
        <v>0</v>
      </c>
      <c r="D68" s="9" t="s">
        <v>574</v>
      </c>
      <c r="E68" s="106"/>
      <c r="F68" s="47" t="s">
        <v>134</v>
      </c>
      <c r="G68" s="8"/>
    </row>
    <row r="69" spans="1:7">
      <c r="A69" s="107">
        <v>158</v>
      </c>
      <c r="B69" s="107" t="str">
        <f>DEC2HEX(A69, 2)</f>
        <v>9E</v>
      </c>
      <c r="C69" s="40" t="s">
        <v>7</v>
      </c>
      <c r="D69" s="9" t="s">
        <v>8</v>
      </c>
      <c r="E69" s="9" t="s">
        <v>9</v>
      </c>
      <c r="F69" s="46" t="s">
        <v>10</v>
      </c>
      <c r="G69" s="8"/>
    </row>
    <row r="70" spans="1:7">
      <c r="A70" s="105"/>
      <c r="B70" s="105"/>
      <c r="C70" s="30">
        <v>2</v>
      </c>
      <c r="D70" s="9" t="s">
        <v>575</v>
      </c>
      <c r="E70" s="112" t="s">
        <v>115</v>
      </c>
      <c r="F70" s="46" t="s">
        <v>137</v>
      </c>
      <c r="G70" s="8" t="s">
        <v>576</v>
      </c>
    </row>
    <row r="71" spans="1:7">
      <c r="A71" s="105"/>
      <c r="B71" s="105"/>
      <c r="C71" s="30">
        <v>1</v>
      </c>
      <c r="D71" s="9" t="s">
        <v>577</v>
      </c>
      <c r="E71" s="106"/>
      <c r="F71" s="46" t="s">
        <v>137</v>
      </c>
      <c r="G71" s="8" t="s">
        <v>578</v>
      </c>
    </row>
    <row r="72" spans="1:7">
      <c r="A72" s="106"/>
      <c r="B72" s="106"/>
      <c r="C72" s="30">
        <v>0</v>
      </c>
      <c r="D72" s="9" t="s">
        <v>8</v>
      </c>
      <c r="E72" s="9" t="s">
        <v>9</v>
      </c>
      <c r="F72" s="46" t="s">
        <v>579</v>
      </c>
      <c r="G72" s="8"/>
    </row>
    <row r="73" spans="1:7">
      <c r="A73" s="107">
        <v>159</v>
      </c>
      <c r="B73" s="107" t="str">
        <f>DEC2HEX(A73, 2)</f>
        <v>9F</v>
      </c>
      <c r="C73" s="40" t="s">
        <v>399</v>
      </c>
      <c r="D73" s="9" t="s">
        <v>8</v>
      </c>
      <c r="E73" s="9" t="s">
        <v>9</v>
      </c>
      <c r="F73" s="46" t="s">
        <v>32</v>
      </c>
      <c r="G73" s="8"/>
    </row>
    <row r="74" spans="1:7">
      <c r="A74" s="105"/>
      <c r="B74" s="105"/>
      <c r="C74" s="30">
        <v>5</v>
      </c>
      <c r="D74" s="9" t="s">
        <v>580</v>
      </c>
      <c r="E74" s="112" t="s">
        <v>115</v>
      </c>
      <c r="F74" s="47" t="s">
        <v>137</v>
      </c>
      <c r="G74" s="8"/>
    </row>
    <row r="75" spans="1:7">
      <c r="A75" s="105"/>
      <c r="B75" s="105"/>
      <c r="C75" s="30">
        <v>4</v>
      </c>
      <c r="D75" s="9" t="s">
        <v>581</v>
      </c>
      <c r="E75" s="105"/>
      <c r="F75" s="47" t="s">
        <v>137</v>
      </c>
      <c r="G75" s="8"/>
    </row>
    <row r="76" spans="1:7">
      <c r="A76" s="105"/>
      <c r="B76" s="105"/>
      <c r="C76" s="30">
        <v>3</v>
      </c>
      <c r="D76" s="9" t="s">
        <v>582</v>
      </c>
      <c r="E76" s="105"/>
      <c r="F76" s="47" t="s">
        <v>137</v>
      </c>
      <c r="G76" s="8"/>
    </row>
    <row r="77" spans="1:7">
      <c r="A77" s="105"/>
      <c r="B77" s="105"/>
      <c r="C77" s="30">
        <v>2</v>
      </c>
      <c r="D77" s="9" t="s">
        <v>583</v>
      </c>
      <c r="E77" s="105"/>
      <c r="F77" s="47" t="s">
        <v>137</v>
      </c>
      <c r="G77" s="8"/>
    </row>
    <row r="78" spans="1:7">
      <c r="A78" s="105"/>
      <c r="B78" s="105"/>
      <c r="C78" s="30">
        <v>1</v>
      </c>
      <c r="D78" s="9" t="s">
        <v>584</v>
      </c>
      <c r="E78" s="105"/>
      <c r="F78" s="46" t="s">
        <v>137</v>
      </c>
      <c r="G78" s="8" t="s">
        <v>585</v>
      </c>
    </row>
    <row r="79" spans="1:7">
      <c r="A79" s="106"/>
      <c r="B79" s="106"/>
      <c r="C79" s="30">
        <v>0</v>
      </c>
      <c r="D79" s="9" t="s">
        <v>586</v>
      </c>
      <c r="E79" s="106"/>
      <c r="F79" s="46" t="s">
        <v>587</v>
      </c>
      <c r="G79" s="8" t="s">
        <v>588</v>
      </c>
    </row>
    <row r="80" spans="1:7">
      <c r="A80" s="107">
        <v>160</v>
      </c>
      <c r="B80" s="107" t="str">
        <f>DEC2HEX(A80, 2)</f>
        <v>A0</v>
      </c>
      <c r="C80" s="40" t="s">
        <v>392</v>
      </c>
      <c r="D80" s="9" t="s">
        <v>8</v>
      </c>
      <c r="E80" s="112" t="s">
        <v>115</v>
      </c>
      <c r="F80" s="46" t="s">
        <v>160</v>
      </c>
      <c r="G80" s="8"/>
    </row>
    <row r="81" spans="1:8">
      <c r="A81" s="105"/>
      <c r="B81" s="105"/>
      <c r="C81" s="40" t="s">
        <v>589</v>
      </c>
      <c r="D81" s="9" t="s">
        <v>590</v>
      </c>
      <c r="E81" s="105"/>
      <c r="F81" s="47" t="s">
        <v>453</v>
      </c>
      <c r="G81" s="8"/>
    </row>
    <row r="82" spans="1:8">
      <c r="A82" s="105"/>
      <c r="B82" s="105"/>
      <c r="C82" s="30">
        <v>2</v>
      </c>
      <c r="D82" s="9" t="s">
        <v>591</v>
      </c>
      <c r="E82" s="105"/>
      <c r="F82" s="46" t="s">
        <v>137</v>
      </c>
      <c r="G82" s="8" t="s">
        <v>592</v>
      </c>
    </row>
    <row r="83" spans="1:8">
      <c r="A83" s="105"/>
      <c r="B83" s="105"/>
      <c r="C83" s="30">
        <v>1</v>
      </c>
      <c r="D83" s="9" t="s">
        <v>593</v>
      </c>
      <c r="E83" s="105"/>
      <c r="F83" s="46" t="s">
        <v>137</v>
      </c>
      <c r="G83" s="8" t="s">
        <v>594</v>
      </c>
    </row>
    <row r="84" spans="1:8">
      <c r="A84" s="106"/>
      <c r="B84" s="106"/>
      <c r="C84" s="30">
        <v>0</v>
      </c>
      <c r="D84" s="9" t="s">
        <v>595</v>
      </c>
      <c r="E84" s="106"/>
      <c r="F84" s="46" t="s">
        <v>596</v>
      </c>
      <c r="G84" s="8" t="s">
        <v>597</v>
      </c>
    </row>
    <row r="85" spans="1:8">
      <c r="A85" s="107">
        <v>161</v>
      </c>
      <c r="B85" s="107" t="str">
        <f>DEC2HEX(A85, 2)</f>
        <v>A1</v>
      </c>
      <c r="C85" s="30">
        <v>7</v>
      </c>
      <c r="D85" s="9" t="s">
        <v>8</v>
      </c>
      <c r="E85" s="9" t="s">
        <v>9</v>
      </c>
      <c r="F85" s="46" t="s">
        <v>12</v>
      </c>
      <c r="G85" s="8"/>
    </row>
    <row r="86" spans="1:8">
      <c r="A86" s="105"/>
      <c r="B86" s="105"/>
      <c r="C86" s="40" t="s">
        <v>493</v>
      </c>
      <c r="D86" s="9" t="s">
        <v>598</v>
      </c>
      <c r="E86" s="112" t="s">
        <v>115</v>
      </c>
      <c r="F86" s="47" t="s">
        <v>32</v>
      </c>
      <c r="G86" s="8"/>
    </row>
    <row r="87" spans="1:8">
      <c r="A87" s="105"/>
      <c r="B87" s="105"/>
      <c r="C87" s="30">
        <v>4</v>
      </c>
      <c r="D87" s="9" t="s">
        <v>599</v>
      </c>
      <c r="E87" s="105"/>
      <c r="F87" s="47" t="s">
        <v>12</v>
      </c>
      <c r="G87" s="8"/>
    </row>
    <row r="88" spans="1:8">
      <c r="A88" s="105"/>
      <c r="B88" s="105"/>
      <c r="C88" s="30">
        <v>3</v>
      </c>
      <c r="D88" s="9" t="s">
        <v>600</v>
      </c>
      <c r="E88" s="105"/>
      <c r="F88" s="46" t="s">
        <v>137</v>
      </c>
      <c r="G88" s="8" t="s">
        <v>601</v>
      </c>
    </row>
    <row r="89" spans="1:8">
      <c r="A89" s="105"/>
      <c r="B89" s="105"/>
      <c r="C89" s="30">
        <v>2</v>
      </c>
      <c r="D89" s="9" t="s">
        <v>602</v>
      </c>
      <c r="E89" s="105"/>
      <c r="F89" s="47" t="s">
        <v>12</v>
      </c>
      <c r="G89" s="8"/>
    </row>
    <row r="90" spans="1:8">
      <c r="A90" s="105"/>
      <c r="B90" s="105"/>
      <c r="C90" s="30">
        <v>1</v>
      </c>
      <c r="D90" s="9" t="s">
        <v>603</v>
      </c>
      <c r="E90" s="105"/>
      <c r="F90" s="46" t="s">
        <v>12</v>
      </c>
      <c r="G90" s="8" t="s">
        <v>604</v>
      </c>
    </row>
    <row r="91" spans="1:8">
      <c r="A91" s="106"/>
      <c r="B91" s="106"/>
      <c r="C91" s="30">
        <v>0</v>
      </c>
      <c r="D91" s="9" t="s">
        <v>605</v>
      </c>
      <c r="E91" s="106"/>
      <c r="F91" s="46" t="s">
        <v>606</v>
      </c>
      <c r="G91" s="8" t="s">
        <v>607</v>
      </c>
    </row>
    <row r="92" spans="1:8">
      <c r="A92" s="107">
        <v>162</v>
      </c>
      <c r="B92" s="107" t="str">
        <f>DEC2HEX(A92, 2)</f>
        <v>A2</v>
      </c>
      <c r="C92" s="30">
        <v>7</v>
      </c>
      <c r="D92" s="9" t="s">
        <v>8</v>
      </c>
      <c r="E92" s="9" t="s">
        <v>9</v>
      </c>
      <c r="F92" s="46" t="s">
        <v>12</v>
      </c>
      <c r="G92" s="8"/>
    </row>
    <row r="93" spans="1:8">
      <c r="A93" s="105"/>
      <c r="B93" s="105"/>
      <c r="C93" s="30">
        <v>6</v>
      </c>
      <c r="D93" s="9" t="s">
        <v>608</v>
      </c>
      <c r="E93" s="9" t="s">
        <v>9</v>
      </c>
      <c r="F93" s="46" t="s">
        <v>12</v>
      </c>
      <c r="G93" s="8"/>
      <c r="H93" s="5"/>
    </row>
    <row r="94" spans="1:8">
      <c r="A94" s="105"/>
      <c r="B94" s="105"/>
      <c r="C94" s="30">
        <v>5</v>
      </c>
      <c r="D94" s="9" t="s">
        <v>609</v>
      </c>
      <c r="E94" s="112" t="s">
        <v>115</v>
      </c>
      <c r="F94" s="47" t="s">
        <v>137</v>
      </c>
      <c r="G94" s="8"/>
    </row>
    <row r="95" spans="1:8">
      <c r="A95" s="105"/>
      <c r="B95" s="105"/>
      <c r="C95" s="40" t="s">
        <v>589</v>
      </c>
      <c r="D95" s="9" t="s">
        <v>610</v>
      </c>
      <c r="E95" s="105"/>
      <c r="F95" s="46" t="s">
        <v>15</v>
      </c>
      <c r="G95" s="8"/>
    </row>
    <row r="96" spans="1:8">
      <c r="A96" s="105"/>
      <c r="B96" s="105"/>
      <c r="C96" s="30">
        <v>2</v>
      </c>
      <c r="D96" s="9" t="s">
        <v>611</v>
      </c>
      <c r="E96" s="105"/>
      <c r="F96" s="46" t="s">
        <v>137</v>
      </c>
      <c r="G96" s="8" t="s">
        <v>612</v>
      </c>
    </row>
    <row r="97" spans="1:10">
      <c r="A97" s="105"/>
      <c r="B97" s="105"/>
      <c r="C97" s="30">
        <v>1</v>
      </c>
      <c r="D97" s="9" t="s">
        <v>613</v>
      </c>
      <c r="E97" s="105"/>
      <c r="F97" s="46" t="s">
        <v>12</v>
      </c>
      <c r="G97" s="8" t="s">
        <v>614</v>
      </c>
    </row>
    <row r="98" spans="1:10">
      <c r="A98" s="106"/>
      <c r="B98" s="106"/>
      <c r="C98" s="30">
        <v>0</v>
      </c>
      <c r="D98" s="9" t="s">
        <v>615</v>
      </c>
      <c r="E98" s="106"/>
      <c r="F98" s="46" t="s">
        <v>616</v>
      </c>
      <c r="G98" s="8" t="s">
        <v>617</v>
      </c>
    </row>
    <row r="99" spans="1:10">
      <c r="A99" s="107">
        <v>163</v>
      </c>
      <c r="B99" s="107" t="str">
        <f>DEC2HEX(A99, 2)</f>
        <v>A3</v>
      </c>
      <c r="C99" s="40" t="s">
        <v>399</v>
      </c>
      <c r="D99" s="9" t="s">
        <v>618</v>
      </c>
      <c r="E99" s="9" t="s">
        <v>115</v>
      </c>
      <c r="F99" s="46" t="s">
        <v>521</v>
      </c>
      <c r="G99" s="8" t="s">
        <v>619</v>
      </c>
    </row>
    <row r="100" spans="1:10">
      <c r="A100" s="105"/>
      <c r="B100" s="105"/>
      <c r="C100" s="57">
        <v>5</v>
      </c>
      <c r="D100" s="19" t="s">
        <v>620</v>
      </c>
      <c r="E100" s="19" t="s">
        <v>406</v>
      </c>
      <c r="F100" s="53" t="s">
        <v>137</v>
      </c>
      <c r="G100" s="65" t="s">
        <v>621</v>
      </c>
    </row>
    <row r="101" spans="1:10">
      <c r="A101" s="105"/>
      <c r="B101" s="105"/>
      <c r="C101" s="57">
        <v>4</v>
      </c>
      <c r="D101" s="19" t="s">
        <v>622</v>
      </c>
      <c r="E101" s="19" t="s">
        <v>406</v>
      </c>
      <c r="F101" s="53" t="s">
        <v>137</v>
      </c>
      <c r="G101" s="65" t="s">
        <v>623</v>
      </c>
    </row>
    <row r="102" spans="1:10">
      <c r="A102" s="106"/>
      <c r="B102" s="106"/>
      <c r="C102" s="30" t="s">
        <v>227</v>
      </c>
      <c r="D102" s="9" t="s">
        <v>624</v>
      </c>
      <c r="E102" s="9" t="s">
        <v>406</v>
      </c>
      <c r="F102" s="53" t="s">
        <v>489</v>
      </c>
      <c r="G102" s="8" t="s">
        <v>625</v>
      </c>
    </row>
    <row r="103" spans="1:10">
      <c r="A103" s="7">
        <v>164</v>
      </c>
      <c r="B103" s="7" t="str">
        <f>DEC2HEX(A103, 2)</f>
        <v>A4</v>
      </c>
      <c r="C103" s="30" t="s">
        <v>18</v>
      </c>
      <c r="D103" s="9" t="s">
        <v>626</v>
      </c>
      <c r="E103" s="9" t="s">
        <v>406</v>
      </c>
      <c r="F103" s="53" t="s">
        <v>247</v>
      </c>
      <c r="G103" s="8"/>
    </row>
    <row r="104" spans="1:10" ht="43.5" customHeight="1">
      <c r="A104" s="107">
        <v>165</v>
      </c>
      <c r="B104" s="107" t="str">
        <f>DEC2HEX(A104, 2)</f>
        <v>A5</v>
      </c>
      <c r="C104" s="30">
        <v>7</v>
      </c>
      <c r="D104" s="9" t="s">
        <v>627</v>
      </c>
      <c r="E104" s="9" t="s">
        <v>406</v>
      </c>
      <c r="F104" s="53" t="s">
        <v>12</v>
      </c>
      <c r="G104" s="8" t="s">
        <v>628</v>
      </c>
    </row>
    <row r="105" spans="1:10">
      <c r="A105" s="105"/>
      <c r="B105" s="105"/>
      <c r="C105" s="40" t="s">
        <v>493</v>
      </c>
      <c r="D105" s="9" t="s">
        <v>8</v>
      </c>
      <c r="E105" s="9" t="s">
        <v>9</v>
      </c>
      <c r="F105" s="46" t="s">
        <v>32</v>
      </c>
      <c r="G105" s="8"/>
    </row>
    <row r="106" spans="1:10">
      <c r="A106" s="106"/>
      <c r="B106" s="106"/>
      <c r="C106" s="30" t="s">
        <v>395</v>
      </c>
      <c r="D106" s="9" t="s">
        <v>629</v>
      </c>
      <c r="E106" s="9" t="s">
        <v>406</v>
      </c>
      <c r="F106" s="53" t="s">
        <v>10</v>
      </c>
      <c r="G106" s="8"/>
    </row>
    <row r="107" spans="1:10">
      <c r="A107" s="107">
        <v>166</v>
      </c>
      <c r="B107" s="107" t="str">
        <f>DEC2HEX(A107, 2)</f>
        <v>A6</v>
      </c>
      <c r="C107" s="30">
        <v>7</v>
      </c>
      <c r="D107" s="9" t="s">
        <v>630</v>
      </c>
      <c r="E107" s="9" t="s">
        <v>406</v>
      </c>
      <c r="F107" s="53" t="s">
        <v>12</v>
      </c>
      <c r="G107" s="8"/>
    </row>
    <row r="108" spans="1:10">
      <c r="A108" s="106"/>
      <c r="B108" s="106"/>
      <c r="C108" s="30" t="s">
        <v>434</v>
      </c>
      <c r="D108" s="9" t="s">
        <v>631</v>
      </c>
      <c r="E108" s="9" t="s">
        <v>406</v>
      </c>
      <c r="F108" s="53" t="s">
        <v>436</v>
      </c>
      <c r="G108" s="8"/>
    </row>
    <row r="109" spans="1:10">
      <c r="A109" s="107">
        <v>167</v>
      </c>
      <c r="B109" s="107" t="str">
        <f>DEC2HEX(A109, 2)</f>
        <v>A7</v>
      </c>
      <c r="C109" s="40" t="s">
        <v>129</v>
      </c>
      <c r="D109" s="9" t="s">
        <v>632</v>
      </c>
      <c r="E109" s="112" t="s">
        <v>115</v>
      </c>
      <c r="F109" s="53" t="s">
        <v>633</v>
      </c>
      <c r="G109" s="8"/>
      <c r="H109" s="5"/>
      <c r="J109" s="113"/>
    </row>
    <row r="110" spans="1:10">
      <c r="A110" s="106"/>
      <c r="B110" s="106"/>
      <c r="C110" s="30" t="s">
        <v>227</v>
      </c>
      <c r="D110" s="9" t="s">
        <v>634</v>
      </c>
      <c r="E110" s="106"/>
      <c r="F110" s="53" t="s">
        <v>491</v>
      </c>
      <c r="G110" s="8"/>
      <c r="J110" s="113"/>
    </row>
    <row r="111" spans="1:10">
      <c r="A111" s="107">
        <v>168</v>
      </c>
      <c r="B111" s="107" t="str">
        <f>DEC2HEX(A111, 2)</f>
        <v>A8</v>
      </c>
      <c r="C111" s="40" t="s">
        <v>129</v>
      </c>
      <c r="D111" s="9" t="s">
        <v>635</v>
      </c>
      <c r="E111" s="112" t="s">
        <v>115</v>
      </c>
      <c r="F111" s="53" t="s">
        <v>636</v>
      </c>
      <c r="G111" s="8"/>
    </row>
    <row r="112" spans="1:10">
      <c r="A112" s="106"/>
      <c r="B112" s="106"/>
      <c r="C112" s="30" t="s">
        <v>227</v>
      </c>
      <c r="D112" s="9" t="s">
        <v>637</v>
      </c>
      <c r="E112" s="106"/>
      <c r="F112" s="53" t="s">
        <v>489</v>
      </c>
      <c r="G112" s="8"/>
    </row>
    <row r="113" spans="1:7">
      <c r="A113" s="107">
        <v>169</v>
      </c>
      <c r="B113" s="107" t="str">
        <f>DEC2HEX(A113, 2)</f>
        <v>A9</v>
      </c>
      <c r="C113" s="30" t="s">
        <v>129</v>
      </c>
      <c r="D113" s="9" t="s">
        <v>8</v>
      </c>
      <c r="E113" s="9"/>
      <c r="F113" s="46" t="s">
        <v>30</v>
      </c>
      <c r="G113" s="8"/>
    </row>
    <row r="114" spans="1:7">
      <c r="A114" s="106"/>
      <c r="B114" s="106"/>
      <c r="C114" s="30" t="s">
        <v>227</v>
      </c>
      <c r="D114" s="9" t="s">
        <v>638</v>
      </c>
      <c r="E114" s="9" t="s">
        <v>115</v>
      </c>
      <c r="F114" s="46" t="s">
        <v>30</v>
      </c>
      <c r="G114" s="8"/>
    </row>
    <row r="115" spans="1:7">
      <c r="A115" s="7" t="s">
        <v>639</v>
      </c>
      <c r="B115" s="18" t="s">
        <v>640</v>
      </c>
      <c r="C115" s="30" t="s">
        <v>18</v>
      </c>
      <c r="D115" s="9" t="s">
        <v>439</v>
      </c>
      <c r="E115" s="9"/>
      <c r="F115" s="46" t="s">
        <v>641</v>
      </c>
      <c r="G115" s="8"/>
    </row>
    <row r="116" spans="1:7">
      <c r="A116" s="7">
        <v>176</v>
      </c>
      <c r="B116" s="7" t="str">
        <f t="shared" ref="B116:B130" si="0">DEC2HEX(A116, 2)</f>
        <v>B0</v>
      </c>
      <c r="C116" s="30" t="s">
        <v>18</v>
      </c>
      <c r="D116" s="9" t="s">
        <v>642</v>
      </c>
      <c r="E116" s="112" t="s">
        <v>115</v>
      </c>
      <c r="F116" s="53" t="s">
        <v>274</v>
      </c>
      <c r="G116" s="8"/>
    </row>
    <row r="117" spans="1:7">
      <c r="A117" s="7">
        <v>177</v>
      </c>
      <c r="B117" s="7" t="str">
        <f t="shared" si="0"/>
        <v>B1</v>
      </c>
      <c r="C117" s="30" t="s">
        <v>18</v>
      </c>
      <c r="D117" s="9" t="s">
        <v>643</v>
      </c>
      <c r="E117" s="105"/>
      <c r="F117" s="53" t="s">
        <v>274</v>
      </c>
      <c r="G117" s="8"/>
    </row>
    <row r="118" spans="1:7">
      <c r="A118" s="7">
        <v>178</v>
      </c>
      <c r="B118" s="7" t="str">
        <f t="shared" si="0"/>
        <v>B2</v>
      </c>
      <c r="C118" s="30" t="s">
        <v>18</v>
      </c>
      <c r="D118" s="9" t="s">
        <v>644</v>
      </c>
      <c r="E118" s="105"/>
      <c r="F118" s="53" t="s">
        <v>274</v>
      </c>
      <c r="G118" s="8"/>
    </row>
    <row r="119" spans="1:7">
      <c r="A119" s="7">
        <v>179</v>
      </c>
      <c r="B119" s="7" t="str">
        <f t="shared" si="0"/>
        <v>B3</v>
      </c>
      <c r="C119" s="30" t="s">
        <v>18</v>
      </c>
      <c r="D119" s="9" t="s">
        <v>645</v>
      </c>
      <c r="E119" s="105"/>
      <c r="F119" s="53" t="s">
        <v>274</v>
      </c>
      <c r="G119" s="8"/>
    </row>
    <row r="120" spans="1:7">
      <c r="A120" s="7">
        <v>180</v>
      </c>
      <c r="B120" s="7" t="str">
        <f t="shared" si="0"/>
        <v>B4</v>
      </c>
      <c r="C120" s="30" t="s">
        <v>18</v>
      </c>
      <c r="D120" s="9" t="s">
        <v>646</v>
      </c>
      <c r="E120" s="105"/>
      <c r="F120" s="53" t="s">
        <v>274</v>
      </c>
      <c r="G120" s="8"/>
    </row>
    <row r="121" spans="1:7">
      <c r="A121" s="7">
        <v>181</v>
      </c>
      <c r="B121" s="7" t="str">
        <f t="shared" si="0"/>
        <v>B5</v>
      </c>
      <c r="C121" s="30" t="s">
        <v>18</v>
      </c>
      <c r="D121" s="9" t="s">
        <v>647</v>
      </c>
      <c r="E121" s="105"/>
      <c r="F121" s="53" t="s">
        <v>274</v>
      </c>
      <c r="G121" s="8"/>
    </row>
    <row r="122" spans="1:7">
      <c r="A122" s="7">
        <v>182</v>
      </c>
      <c r="B122" s="7" t="str">
        <f t="shared" si="0"/>
        <v>B6</v>
      </c>
      <c r="C122" s="30" t="s">
        <v>18</v>
      </c>
      <c r="D122" s="9" t="s">
        <v>648</v>
      </c>
      <c r="E122" s="105"/>
      <c r="F122" s="53" t="s">
        <v>274</v>
      </c>
      <c r="G122" s="8"/>
    </row>
    <row r="123" spans="1:7">
      <c r="A123" s="7">
        <v>183</v>
      </c>
      <c r="B123" s="7" t="str">
        <f t="shared" si="0"/>
        <v>B7</v>
      </c>
      <c r="C123" s="30" t="s">
        <v>18</v>
      </c>
      <c r="D123" s="9" t="s">
        <v>649</v>
      </c>
      <c r="E123" s="105"/>
      <c r="F123" s="53" t="s">
        <v>274</v>
      </c>
      <c r="G123" s="8"/>
    </row>
    <row r="124" spans="1:7">
      <c r="A124" s="7">
        <v>184</v>
      </c>
      <c r="B124" s="7" t="str">
        <f t="shared" si="0"/>
        <v>B8</v>
      </c>
      <c r="C124" s="30" t="s">
        <v>18</v>
      </c>
      <c r="D124" s="9" t="s">
        <v>650</v>
      </c>
      <c r="E124" s="105"/>
      <c r="F124" s="53" t="s">
        <v>274</v>
      </c>
      <c r="G124" s="8"/>
    </row>
    <row r="125" spans="1:7">
      <c r="A125" s="7">
        <v>185</v>
      </c>
      <c r="B125" s="7" t="str">
        <f t="shared" si="0"/>
        <v>B9</v>
      </c>
      <c r="C125" s="30" t="s">
        <v>18</v>
      </c>
      <c r="D125" s="9" t="s">
        <v>651</v>
      </c>
      <c r="E125" s="105"/>
      <c r="F125" s="53" t="s">
        <v>274</v>
      </c>
      <c r="G125" s="8"/>
    </row>
    <row r="126" spans="1:7">
      <c r="A126" s="7">
        <v>186</v>
      </c>
      <c r="B126" s="7" t="str">
        <f t="shared" si="0"/>
        <v>BA</v>
      </c>
      <c r="C126" s="30" t="s">
        <v>18</v>
      </c>
      <c r="D126" s="9" t="s">
        <v>652</v>
      </c>
      <c r="E126" s="105"/>
      <c r="F126" s="53" t="s">
        <v>274</v>
      </c>
      <c r="G126" s="8"/>
    </row>
    <row r="127" spans="1:7">
      <c r="A127" s="7">
        <v>187</v>
      </c>
      <c r="B127" s="7" t="str">
        <f t="shared" si="0"/>
        <v>BB</v>
      </c>
      <c r="C127" s="30" t="s">
        <v>18</v>
      </c>
      <c r="D127" s="9" t="s">
        <v>653</v>
      </c>
      <c r="E127" s="105"/>
      <c r="F127" s="53" t="s">
        <v>274</v>
      </c>
      <c r="G127" s="8"/>
    </row>
    <row r="128" spans="1:7">
      <c r="A128" s="7">
        <v>188</v>
      </c>
      <c r="B128" s="7" t="str">
        <f t="shared" si="0"/>
        <v>BC</v>
      </c>
      <c r="C128" s="30" t="s">
        <v>18</v>
      </c>
      <c r="D128" s="9" t="s">
        <v>654</v>
      </c>
      <c r="E128" s="105"/>
      <c r="F128" s="53" t="s">
        <v>274</v>
      </c>
      <c r="G128" s="8"/>
    </row>
    <row r="129" spans="1:7">
      <c r="A129" s="7">
        <v>189</v>
      </c>
      <c r="B129" s="7" t="str">
        <f t="shared" si="0"/>
        <v>BD</v>
      </c>
      <c r="C129" s="30" t="s">
        <v>18</v>
      </c>
      <c r="D129" s="9" t="s">
        <v>655</v>
      </c>
      <c r="E129" s="105"/>
      <c r="F129" s="53" t="s">
        <v>274</v>
      </c>
      <c r="G129" s="8"/>
    </row>
    <row r="130" spans="1:7">
      <c r="A130" s="7">
        <v>190</v>
      </c>
      <c r="B130" s="7" t="str">
        <f t="shared" si="0"/>
        <v>BE</v>
      </c>
      <c r="C130" s="30" t="s">
        <v>18</v>
      </c>
      <c r="D130" s="9" t="s">
        <v>656</v>
      </c>
      <c r="E130" s="106"/>
      <c r="F130" s="53" t="s">
        <v>274</v>
      </c>
      <c r="G130" s="8"/>
    </row>
    <row r="131" spans="1:7">
      <c r="A131" s="7" t="s">
        <v>657</v>
      </c>
      <c r="B131" s="18" t="s">
        <v>658</v>
      </c>
      <c r="C131" s="30" t="s">
        <v>18</v>
      </c>
      <c r="D131" s="9" t="s">
        <v>659</v>
      </c>
      <c r="E131" s="9"/>
      <c r="F131" s="46" t="s">
        <v>660</v>
      </c>
      <c r="G131" s="8"/>
    </row>
    <row r="132" spans="1:7">
      <c r="A132" s="7">
        <v>223</v>
      </c>
      <c r="B132" s="7" t="str">
        <f>DEC2HEX(A132, 2)</f>
        <v>DF</v>
      </c>
      <c r="C132" s="30" t="s">
        <v>18</v>
      </c>
      <c r="D132" s="9" t="s">
        <v>661</v>
      </c>
      <c r="E132" s="112" t="s">
        <v>406</v>
      </c>
      <c r="F132" s="53" t="s">
        <v>146</v>
      </c>
      <c r="G132" s="8"/>
    </row>
    <row r="133" spans="1:7">
      <c r="A133" s="7">
        <v>224</v>
      </c>
      <c r="B133" s="7" t="str">
        <f>DEC2HEX(A133, 2)</f>
        <v>E0</v>
      </c>
      <c r="C133" s="30" t="s">
        <v>18</v>
      </c>
      <c r="D133" s="9" t="s">
        <v>662</v>
      </c>
      <c r="E133" s="105"/>
      <c r="F133" s="53" t="s">
        <v>146</v>
      </c>
      <c r="G133" s="8"/>
    </row>
    <row r="134" spans="1:7">
      <c r="A134" s="107">
        <v>225</v>
      </c>
      <c r="B134" s="107" t="str">
        <f>DEC2HEX(A134, 2)</f>
        <v>E1</v>
      </c>
      <c r="C134" s="40" t="s">
        <v>129</v>
      </c>
      <c r="D134" s="9" t="s">
        <v>663</v>
      </c>
      <c r="E134" s="105"/>
      <c r="F134" s="53" t="s">
        <v>30</v>
      </c>
      <c r="G134" s="8"/>
    </row>
    <row r="135" spans="1:7">
      <c r="A135" s="106"/>
      <c r="B135" s="106"/>
      <c r="C135" s="30" t="s">
        <v>227</v>
      </c>
      <c r="D135" s="9" t="s">
        <v>664</v>
      </c>
      <c r="E135" s="105"/>
      <c r="F135" s="53" t="s">
        <v>30</v>
      </c>
      <c r="G135" s="8"/>
    </row>
    <row r="136" spans="1:7">
      <c r="A136" s="7">
        <v>226</v>
      </c>
      <c r="B136" s="7" t="str">
        <f>DEC2HEX(A136, 2)</f>
        <v>E2</v>
      </c>
      <c r="C136" s="30" t="s">
        <v>18</v>
      </c>
      <c r="D136" s="9" t="s">
        <v>665</v>
      </c>
      <c r="E136" s="106"/>
      <c r="F136" s="53" t="s">
        <v>146</v>
      </c>
      <c r="G136" s="8"/>
    </row>
    <row r="137" spans="1:7">
      <c r="A137" s="7">
        <v>227</v>
      </c>
      <c r="B137" s="7" t="str">
        <f>DEC2HEX(A137, 2)</f>
        <v>E3</v>
      </c>
      <c r="C137" s="30" t="s">
        <v>18</v>
      </c>
      <c r="D137" s="9" t="s">
        <v>666</v>
      </c>
      <c r="E137" s="112" t="s">
        <v>406</v>
      </c>
      <c r="F137" s="53" t="s">
        <v>146</v>
      </c>
      <c r="G137" s="8"/>
    </row>
    <row r="138" spans="1:7">
      <c r="A138" s="7">
        <v>228</v>
      </c>
      <c r="B138" s="7" t="str">
        <f>DEC2HEX(A138, 2)</f>
        <v>E4</v>
      </c>
      <c r="C138" s="30" t="s">
        <v>18</v>
      </c>
      <c r="D138" s="9" t="s">
        <v>667</v>
      </c>
      <c r="E138" s="105"/>
      <c r="F138" s="53" t="s">
        <v>146</v>
      </c>
      <c r="G138" s="8"/>
    </row>
    <row r="139" spans="1:7">
      <c r="A139" s="107">
        <v>229</v>
      </c>
      <c r="B139" s="107" t="str">
        <f>DEC2HEX(A139, 2)</f>
        <v>E5</v>
      </c>
      <c r="C139" s="40" t="s">
        <v>129</v>
      </c>
      <c r="D139" s="9" t="s">
        <v>668</v>
      </c>
      <c r="E139" s="105"/>
      <c r="F139" s="53" t="s">
        <v>30</v>
      </c>
      <c r="G139" s="8"/>
    </row>
    <row r="140" spans="1:7">
      <c r="A140" s="106"/>
      <c r="B140" s="106"/>
      <c r="C140" s="30" t="s">
        <v>227</v>
      </c>
      <c r="D140" s="9" t="s">
        <v>669</v>
      </c>
      <c r="E140" s="105"/>
      <c r="F140" s="53" t="s">
        <v>30</v>
      </c>
      <c r="G140" s="8"/>
    </row>
    <row r="141" spans="1:7">
      <c r="A141" s="7">
        <v>230</v>
      </c>
      <c r="B141" s="7" t="str">
        <f>DEC2HEX(A141, 2)</f>
        <v>E6</v>
      </c>
      <c r="C141" s="30" t="s">
        <v>18</v>
      </c>
      <c r="D141" s="9" t="s">
        <v>670</v>
      </c>
      <c r="E141" s="106"/>
      <c r="F141" s="53" t="s">
        <v>146</v>
      </c>
      <c r="G141" s="8"/>
    </row>
    <row r="142" spans="1:7">
      <c r="A142" s="7">
        <v>231</v>
      </c>
      <c r="B142" s="7" t="str">
        <f>DEC2HEX(A142, 2)</f>
        <v>E7</v>
      </c>
      <c r="C142" s="30" t="s">
        <v>18</v>
      </c>
      <c r="D142" s="9" t="s">
        <v>671</v>
      </c>
      <c r="E142" s="112" t="s">
        <v>406</v>
      </c>
      <c r="F142" s="53" t="s">
        <v>146</v>
      </c>
      <c r="G142" s="8"/>
    </row>
    <row r="143" spans="1:7">
      <c r="A143" s="7">
        <v>232</v>
      </c>
      <c r="B143" s="7" t="str">
        <f>DEC2HEX(A143, 2)</f>
        <v>E8</v>
      </c>
      <c r="C143" s="30" t="s">
        <v>18</v>
      </c>
      <c r="D143" s="9" t="s">
        <v>672</v>
      </c>
      <c r="E143" s="105"/>
      <c r="F143" s="53" t="s">
        <v>146</v>
      </c>
      <c r="G143" s="8"/>
    </row>
    <row r="144" spans="1:7">
      <c r="A144" s="107">
        <v>233</v>
      </c>
      <c r="B144" s="107" t="str">
        <f>DEC2HEX(A144, 2)</f>
        <v>E9</v>
      </c>
      <c r="C144" s="40" t="s">
        <v>129</v>
      </c>
      <c r="D144" s="9" t="s">
        <v>673</v>
      </c>
      <c r="E144" s="105"/>
      <c r="F144" s="53" t="s">
        <v>30</v>
      </c>
      <c r="G144" s="8"/>
    </row>
    <row r="145" spans="1:7">
      <c r="A145" s="106"/>
      <c r="B145" s="106"/>
      <c r="C145" s="30" t="s">
        <v>227</v>
      </c>
      <c r="D145" s="9" t="s">
        <v>674</v>
      </c>
      <c r="E145" s="105"/>
      <c r="F145" s="53" t="s">
        <v>30</v>
      </c>
      <c r="G145" s="8"/>
    </row>
    <row r="146" spans="1:7">
      <c r="A146" s="7">
        <v>234</v>
      </c>
      <c r="B146" s="7" t="str">
        <f>DEC2HEX(A146, 2)</f>
        <v>EA</v>
      </c>
      <c r="C146" s="30" t="s">
        <v>18</v>
      </c>
      <c r="D146" s="9" t="s">
        <v>675</v>
      </c>
      <c r="E146" s="106"/>
      <c r="F146" s="53" t="s">
        <v>146</v>
      </c>
      <c r="G146" s="8"/>
    </row>
    <row r="147" spans="1:7">
      <c r="A147" s="7">
        <v>235</v>
      </c>
      <c r="B147" s="7" t="str">
        <f>DEC2HEX(A147, 2)</f>
        <v>EB</v>
      </c>
      <c r="C147" s="30" t="s">
        <v>18</v>
      </c>
      <c r="D147" s="9" t="s">
        <v>676</v>
      </c>
      <c r="E147" s="112" t="s">
        <v>406</v>
      </c>
      <c r="F147" s="53" t="s">
        <v>146</v>
      </c>
      <c r="G147" s="8"/>
    </row>
    <row r="148" spans="1:7">
      <c r="A148" s="7">
        <v>236</v>
      </c>
      <c r="B148" s="7" t="str">
        <f>DEC2HEX(A148, 2)</f>
        <v>EC</v>
      </c>
      <c r="C148" s="30" t="s">
        <v>18</v>
      </c>
      <c r="D148" s="9" t="s">
        <v>677</v>
      </c>
      <c r="E148" s="105"/>
      <c r="F148" s="53" t="s">
        <v>146</v>
      </c>
      <c r="G148" s="8"/>
    </row>
    <row r="149" spans="1:7">
      <c r="A149" s="107">
        <v>237</v>
      </c>
      <c r="B149" s="107" t="str">
        <f>DEC2HEX(A149, 2)</f>
        <v>ED</v>
      </c>
      <c r="C149" s="40" t="s">
        <v>129</v>
      </c>
      <c r="D149" s="9" t="s">
        <v>678</v>
      </c>
      <c r="E149" s="105"/>
      <c r="F149" s="53" t="s">
        <v>30</v>
      </c>
      <c r="G149" s="8"/>
    </row>
    <row r="150" spans="1:7">
      <c r="A150" s="106"/>
      <c r="B150" s="106"/>
      <c r="C150" s="30" t="s">
        <v>227</v>
      </c>
      <c r="D150" s="9" t="s">
        <v>679</v>
      </c>
      <c r="E150" s="105"/>
      <c r="F150" s="53" t="s">
        <v>30</v>
      </c>
      <c r="G150" s="8"/>
    </row>
    <row r="151" spans="1:7">
      <c r="A151" s="7">
        <v>238</v>
      </c>
      <c r="B151" s="7" t="str">
        <f>DEC2HEX(A151, 2)</f>
        <v>EE</v>
      </c>
      <c r="C151" s="30" t="s">
        <v>18</v>
      </c>
      <c r="D151" s="9" t="s">
        <v>680</v>
      </c>
      <c r="E151" s="106"/>
      <c r="F151" s="53" t="s">
        <v>146</v>
      </c>
      <c r="G151" s="8"/>
    </row>
    <row r="152" spans="1:7">
      <c r="A152" s="7">
        <v>239</v>
      </c>
      <c r="B152" s="7" t="str">
        <f>DEC2HEX(A152, 2)</f>
        <v>EF</v>
      </c>
      <c r="C152" s="30" t="s">
        <v>18</v>
      </c>
      <c r="D152" s="9" t="s">
        <v>681</v>
      </c>
      <c r="E152" s="112" t="s">
        <v>406</v>
      </c>
      <c r="F152" s="53" t="s">
        <v>146</v>
      </c>
      <c r="G152" s="8"/>
    </row>
    <row r="153" spans="1:7">
      <c r="A153" s="7">
        <v>240</v>
      </c>
      <c r="B153" s="7" t="str">
        <f>DEC2HEX(A153, 2)</f>
        <v>F0</v>
      </c>
      <c r="C153" s="30" t="s">
        <v>18</v>
      </c>
      <c r="D153" s="9" t="s">
        <v>682</v>
      </c>
      <c r="E153" s="105"/>
      <c r="F153" s="53" t="s">
        <v>146</v>
      </c>
      <c r="G153" s="8"/>
    </row>
    <row r="154" spans="1:7">
      <c r="A154" s="107">
        <v>241</v>
      </c>
      <c r="B154" s="107" t="str">
        <f>DEC2HEX(A154, 2)</f>
        <v>F1</v>
      </c>
      <c r="C154" s="40" t="s">
        <v>129</v>
      </c>
      <c r="D154" s="9" t="s">
        <v>683</v>
      </c>
      <c r="E154" s="105"/>
      <c r="F154" s="53" t="s">
        <v>30</v>
      </c>
      <c r="G154" s="8"/>
    </row>
    <row r="155" spans="1:7">
      <c r="A155" s="106"/>
      <c r="B155" s="106"/>
      <c r="C155" s="30" t="s">
        <v>227</v>
      </c>
      <c r="D155" s="9" t="s">
        <v>684</v>
      </c>
      <c r="E155" s="105"/>
      <c r="F155" s="53" t="s">
        <v>30</v>
      </c>
      <c r="G155" s="8"/>
    </row>
    <row r="156" spans="1:7">
      <c r="A156" s="7">
        <v>242</v>
      </c>
      <c r="B156" s="7" t="str">
        <f>DEC2HEX(A156, 2)</f>
        <v>F2</v>
      </c>
      <c r="C156" s="30" t="s">
        <v>18</v>
      </c>
      <c r="D156" s="9" t="s">
        <v>685</v>
      </c>
      <c r="E156" s="106"/>
      <c r="F156" s="53" t="s">
        <v>146</v>
      </c>
      <c r="G156" s="8"/>
    </row>
    <row r="157" spans="1:7">
      <c r="A157" s="7">
        <v>243</v>
      </c>
      <c r="B157" s="7" t="str">
        <f>DEC2HEX(A157, 2)</f>
        <v>F3</v>
      </c>
      <c r="C157" s="30" t="s">
        <v>18</v>
      </c>
      <c r="D157" s="9" t="s">
        <v>686</v>
      </c>
      <c r="E157" s="112" t="s">
        <v>406</v>
      </c>
      <c r="F157" s="53" t="s">
        <v>146</v>
      </c>
      <c r="G157" s="8"/>
    </row>
    <row r="158" spans="1:7">
      <c r="A158" s="7">
        <v>244</v>
      </c>
      <c r="B158" s="7" t="str">
        <f>DEC2HEX(A158, 2)</f>
        <v>F4</v>
      </c>
      <c r="C158" s="30" t="s">
        <v>18</v>
      </c>
      <c r="D158" s="9" t="s">
        <v>687</v>
      </c>
      <c r="E158" s="105"/>
      <c r="F158" s="53" t="s">
        <v>146</v>
      </c>
      <c r="G158" s="8"/>
    </row>
    <row r="159" spans="1:7">
      <c r="A159" s="107">
        <v>245</v>
      </c>
      <c r="B159" s="107" t="str">
        <f>DEC2HEX(A159, 2)</f>
        <v>F5</v>
      </c>
      <c r="C159" s="40" t="s">
        <v>129</v>
      </c>
      <c r="D159" s="9" t="s">
        <v>688</v>
      </c>
      <c r="E159" s="105"/>
      <c r="F159" s="53" t="s">
        <v>30</v>
      </c>
      <c r="G159" s="8"/>
    </row>
    <row r="160" spans="1:7">
      <c r="A160" s="106"/>
      <c r="B160" s="106"/>
      <c r="C160" s="30" t="s">
        <v>227</v>
      </c>
      <c r="D160" s="9" t="s">
        <v>689</v>
      </c>
      <c r="E160" s="105"/>
      <c r="F160" s="53" t="s">
        <v>30</v>
      </c>
      <c r="G160" s="8"/>
    </row>
    <row r="161" spans="1:7">
      <c r="A161" s="7">
        <v>246</v>
      </c>
      <c r="B161" s="7" t="str">
        <f>DEC2HEX(A161, 2)</f>
        <v>F6</v>
      </c>
      <c r="C161" s="30" t="s">
        <v>18</v>
      </c>
      <c r="D161" s="9" t="s">
        <v>690</v>
      </c>
      <c r="E161" s="106"/>
      <c r="F161" s="53" t="s">
        <v>146</v>
      </c>
      <c r="G161" s="8"/>
    </row>
    <row r="162" spans="1:7">
      <c r="A162" s="7">
        <v>247</v>
      </c>
      <c r="B162" s="7" t="str">
        <f>DEC2HEX(A162, 2)</f>
        <v>F7</v>
      </c>
      <c r="C162" s="30" t="s">
        <v>18</v>
      </c>
      <c r="D162" s="9" t="s">
        <v>691</v>
      </c>
      <c r="E162" s="112" t="s">
        <v>406</v>
      </c>
      <c r="F162" s="53" t="s">
        <v>146</v>
      </c>
      <c r="G162" s="8"/>
    </row>
    <row r="163" spans="1:7">
      <c r="A163" s="7">
        <v>248</v>
      </c>
      <c r="B163" s="7" t="str">
        <f>DEC2HEX(A163, 2)</f>
        <v>F8</v>
      </c>
      <c r="C163" s="30" t="s">
        <v>18</v>
      </c>
      <c r="D163" s="9" t="s">
        <v>692</v>
      </c>
      <c r="E163" s="105"/>
      <c r="F163" s="53" t="s">
        <v>146</v>
      </c>
      <c r="G163" s="8"/>
    </row>
    <row r="164" spans="1:7">
      <c r="A164" s="107">
        <v>249</v>
      </c>
      <c r="B164" s="107" t="str">
        <f>DEC2HEX(A164, 2)</f>
        <v>F9</v>
      </c>
      <c r="C164" s="40" t="s">
        <v>129</v>
      </c>
      <c r="D164" s="9" t="s">
        <v>693</v>
      </c>
      <c r="E164" s="105"/>
      <c r="F164" s="53" t="s">
        <v>30</v>
      </c>
      <c r="G164" s="8"/>
    </row>
    <row r="165" spans="1:7">
      <c r="A165" s="106"/>
      <c r="B165" s="106"/>
      <c r="C165" s="30" t="s">
        <v>227</v>
      </c>
      <c r="D165" s="9" t="s">
        <v>694</v>
      </c>
      <c r="E165" s="105"/>
      <c r="F165" s="53" t="s">
        <v>30</v>
      </c>
      <c r="G165" s="8"/>
    </row>
    <row r="166" spans="1:7">
      <c r="A166" s="7">
        <v>250</v>
      </c>
      <c r="B166" s="7" t="str">
        <f>DEC2HEX(A166, 2)</f>
        <v>FA</v>
      </c>
      <c r="C166" s="30" t="s">
        <v>18</v>
      </c>
      <c r="D166" s="9" t="s">
        <v>695</v>
      </c>
      <c r="E166" s="106"/>
      <c r="F166" s="53" t="s">
        <v>146</v>
      </c>
      <c r="G166" s="8"/>
    </row>
    <row r="167" spans="1:7">
      <c r="A167" s="107">
        <v>251</v>
      </c>
      <c r="B167" s="107" t="str">
        <f>DEC2HEX(A167, 2)</f>
        <v>FB</v>
      </c>
      <c r="C167" s="30" t="s">
        <v>399</v>
      </c>
      <c r="D167" s="9" t="s">
        <v>696</v>
      </c>
      <c r="E167" s="107" t="s">
        <v>115</v>
      </c>
      <c r="F167" s="53" t="s">
        <v>32</v>
      </c>
      <c r="G167" s="8"/>
    </row>
    <row r="168" spans="1:7">
      <c r="A168" s="105"/>
      <c r="B168" s="105"/>
      <c r="C168" s="30" t="s">
        <v>552</v>
      </c>
      <c r="D168" s="9" t="s">
        <v>697</v>
      </c>
      <c r="E168" s="105"/>
      <c r="F168" s="53" t="s">
        <v>32</v>
      </c>
      <c r="G168" s="8"/>
    </row>
    <row r="169" spans="1:7">
      <c r="A169" s="105"/>
      <c r="B169" s="105"/>
      <c r="C169" s="30" t="s">
        <v>698</v>
      </c>
      <c r="D169" s="9" t="s">
        <v>699</v>
      </c>
      <c r="E169" s="105"/>
      <c r="F169" s="53" t="s">
        <v>32</v>
      </c>
      <c r="G169" s="8"/>
    </row>
    <row r="170" spans="1:7">
      <c r="A170" s="106"/>
      <c r="B170" s="106"/>
      <c r="C170" s="30" t="s">
        <v>13</v>
      </c>
      <c r="D170" s="9" t="s">
        <v>700</v>
      </c>
      <c r="E170" s="106"/>
      <c r="F170" s="53" t="s">
        <v>32</v>
      </c>
      <c r="G170" s="8"/>
    </row>
    <row r="171" spans="1:7">
      <c r="A171" s="7" t="s">
        <v>701</v>
      </c>
      <c r="B171" s="18" t="s">
        <v>702</v>
      </c>
      <c r="C171" s="30" t="s">
        <v>18</v>
      </c>
      <c r="D171" s="9" t="s">
        <v>703</v>
      </c>
      <c r="E171" s="9"/>
      <c r="F171" s="46" t="s">
        <v>704</v>
      </c>
      <c r="G171" s="8"/>
    </row>
    <row r="172" spans="1:7">
      <c r="A172" s="7">
        <v>255</v>
      </c>
      <c r="B172" s="7" t="str">
        <f>DEC2HEX(A172, 2)</f>
        <v>FF</v>
      </c>
      <c r="C172" s="30" t="s">
        <v>18</v>
      </c>
      <c r="D172" s="9" t="s">
        <v>705</v>
      </c>
      <c r="E172" s="9"/>
      <c r="F172" s="46" t="s">
        <v>706</v>
      </c>
      <c r="G172" s="8"/>
    </row>
  </sheetData>
  <mergeCells count="83">
    <mergeCell ref="B167:B170"/>
    <mergeCell ref="A26:A32"/>
    <mergeCell ref="B104:B106"/>
    <mergeCell ref="B80:B84"/>
    <mergeCell ref="B24:B25"/>
    <mergeCell ref="B92:B98"/>
    <mergeCell ref="A52:A58"/>
    <mergeCell ref="A92:A98"/>
    <mergeCell ref="A109:A110"/>
    <mergeCell ref="B139:B140"/>
    <mergeCell ref="B154:B155"/>
    <mergeCell ref="B113:B114"/>
    <mergeCell ref="A167:A170"/>
    <mergeCell ref="B73:B79"/>
    <mergeCell ref="B50:B51"/>
    <mergeCell ref="E167:E170"/>
    <mergeCell ref="A85:A91"/>
    <mergeCell ref="A144:A145"/>
    <mergeCell ref="B107:B108"/>
    <mergeCell ref="A59:A63"/>
    <mergeCell ref="A134:A135"/>
    <mergeCell ref="E70:E71"/>
    <mergeCell ref="B99:B102"/>
    <mergeCell ref="B164:B165"/>
    <mergeCell ref="A159:A160"/>
    <mergeCell ref="E132:E136"/>
    <mergeCell ref="E94:E98"/>
    <mergeCell ref="E152:E156"/>
    <mergeCell ref="A104:A106"/>
    <mergeCell ref="A80:A84"/>
    <mergeCell ref="B109:B110"/>
    <mergeCell ref="A149:A150"/>
    <mergeCell ref="A69:A72"/>
    <mergeCell ref="A6:A7"/>
    <mergeCell ref="A50:A51"/>
    <mergeCell ref="B64:B68"/>
    <mergeCell ref="B37:B43"/>
    <mergeCell ref="B15:B21"/>
    <mergeCell ref="A45:A49"/>
    <mergeCell ref="B22:B23"/>
    <mergeCell ref="B149:B150"/>
    <mergeCell ref="A24:A25"/>
    <mergeCell ref="A37:A43"/>
    <mergeCell ref="B111:B112"/>
    <mergeCell ref="A99:A102"/>
    <mergeCell ref="E37:E43"/>
    <mergeCell ref="E142:E146"/>
    <mergeCell ref="E147:E151"/>
    <mergeCell ref="B52:B58"/>
    <mergeCell ref="B134:B135"/>
    <mergeCell ref="B144:B145"/>
    <mergeCell ref="E52:E58"/>
    <mergeCell ref="E80:E84"/>
    <mergeCell ref="E74:E79"/>
    <mergeCell ref="E109:E110"/>
    <mergeCell ref="E111:E112"/>
    <mergeCell ref="J109:J110"/>
    <mergeCell ref="B85:B91"/>
    <mergeCell ref="E50:E51"/>
    <mergeCell ref="E116:E130"/>
    <mergeCell ref="A111:A112"/>
    <mergeCell ref="E59:E63"/>
    <mergeCell ref="A64:A68"/>
    <mergeCell ref="B69:B72"/>
    <mergeCell ref="E86:E91"/>
    <mergeCell ref="A73:A79"/>
    <mergeCell ref="A107:A108"/>
    <mergeCell ref="E162:E166"/>
    <mergeCell ref="A164:A165"/>
    <mergeCell ref="A113:A114"/>
    <mergeCell ref="B45:B49"/>
    <mergeCell ref="B6:B7"/>
    <mergeCell ref="B59:B63"/>
    <mergeCell ref="A15:A21"/>
    <mergeCell ref="E65:E68"/>
    <mergeCell ref="A22:A23"/>
    <mergeCell ref="E137:E141"/>
    <mergeCell ref="B159:B160"/>
    <mergeCell ref="E157:E161"/>
    <mergeCell ref="E45:E49"/>
    <mergeCell ref="A139:A140"/>
    <mergeCell ref="A154:A155"/>
    <mergeCell ref="B26:B32"/>
  </mergeCells>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40"/>
  <sheetViews>
    <sheetView zoomScale="115" zoomScaleNormal="115" workbookViewId="0">
      <pane xSplit="5" ySplit="1" topLeftCell="F2" activePane="bottomRight" state="frozen"/>
      <selection pane="topRight" activeCell="D121" sqref="D121:F121"/>
      <selection pane="bottomLeft" activeCell="D121" sqref="D121:F121"/>
      <selection pane="bottomRight" activeCell="G21" sqref="G21"/>
    </sheetView>
  </sheetViews>
  <sheetFormatPr defaultRowHeight="14.5"/>
  <cols>
    <col min="1" max="1" width="8.453125" style="1" bestFit="1" customWidth="1"/>
    <col min="2" max="2" width="8.453125" style="1" customWidth="1"/>
    <col min="3" max="3" width="4.453125" style="1" bestFit="1" customWidth="1"/>
    <col min="4" max="4" width="36.1796875" style="5" bestFit="1" customWidth="1"/>
    <col min="5" max="5" width="8.1796875" style="5" bestFit="1" customWidth="1"/>
    <col min="6" max="6" width="14.54296875" style="3" bestFit="1" customWidth="1"/>
    <col min="7" max="7" width="35" style="41" bestFit="1" customWidth="1"/>
    <col min="8" max="8" width="14.54296875" style="41" customWidth="1"/>
  </cols>
  <sheetData>
    <row r="1" spans="1:7">
      <c r="A1" s="6" t="s">
        <v>0</v>
      </c>
      <c r="B1" s="6" t="s">
        <v>1</v>
      </c>
      <c r="C1" s="6" t="s">
        <v>2</v>
      </c>
      <c r="D1" s="4" t="s">
        <v>3</v>
      </c>
      <c r="E1" s="4" t="s">
        <v>4</v>
      </c>
      <c r="F1" s="6" t="s">
        <v>5</v>
      </c>
      <c r="G1" s="6" t="s">
        <v>6</v>
      </c>
    </row>
    <row r="2" spans="1:7">
      <c r="A2" s="11" t="s">
        <v>707</v>
      </c>
      <c r="B2" s="20" t="s">
        <v>708</v>
      </c>
      <c r="C2" s="11" t="s">
        <v>18</v>
      </c>
      <c r="D2" s="9" t="s">
        <v>709</v>
      </c>
      <c r="E2" s="112" t="s">
        <v>406</v>
      </c>
      <c r="F2" s="45" t="s">
        <v>710</v>
      </c>
      <c r="G2" s="7"/>
    </row>
    <row r="3" spans="1:7">
      <c r="A3" s="11" t="s">
        <v>711</v>
      </c>
      <c r="B3" s="20" t="s">
        <v>712</v>
      </c>
      <c r="C3" s="11" t="s">
        <v>18</v>
      </c>
      <c r="D3" s="9" t="s">
        <v>713</v>
      </c>
      <c r="E3" s="105"/>
      <c r="F3" s="45" t="s">
        <v>714</v>
      </c>
      <c r="G3" s="7"/>
    </row>
    <row r="4" spans="1:7">
      <c r="A4" s="11" t="s">
        <v>715</v>
      </c>
      <c r="B4" s="20" t="s">
        <v>716</v>
      </c>
      <c r="C4" s="11" t="s">
        <v>18</v>
      </c>
      <c r="D4" s="9" t="s">
        <v>717</v>
      </c>
      <c r="E4" s="105"/>
      <c r="F4" s="45" t="s">
        <v>718</v>
      </c>
      <c r="G4" s="7"/>
    </row>
    <row r="5" spans="1:7">
      <c r="A5" s="11" t="s">
        <v>719</v>
      </c>
      <c r="B5" s="20" t="s">
        <v>720</v>
      </c>
      <c r="C5" s="11" t="s">
        <v>18</v>
      </c>
      <c r="D5" s="9" t="s">
        <v>721</v>
      </c>
      <c r="E5" s="106"/>
      <c r="F5" s="45" t="s">
        <v>232</v>
      </c>
      <c r="G5" s="7"/>
    </row>
    <row r="6" spans="1:7">
      <c r="A6" s="11" t="s">
        <v>722</v>
      </c>
      <c r="B6" s="20" t="s">
        <v>723</v>
      </c>
      <c r="C6" s="11" t="s">
        <v>18</v>
      </c>
      <c r="D6" s="9" t="s">
        <v>724</v>
      </c>
      <c r="E6" s="112" t="s">
        <v>406</v>
      </c>
      <c r="F6" s="45" t="s">
        <v>725</v>
      </c>
      <c r="G6" s="7"/>
    </row>
    <row r="7" spans="1:7">
      <c r="A7" s="11" t="s">
        <v>465</v>
      </c>
      <c r="B7" s="20" t="s">
        <v>466</v>
      </c>
      <c r="C7" s="11" t="s">
        <v>18</v>
      </c>
      <c r="D7" s="9" t="s">
        <v>726</v>
      </c>
      <c r="E7" s="105"/>
      <c r="F7" s="45" t="s">
        <v>727</v>
      </c>
      <c r="G7" s="7"/>
    </row>
    <row r="8" spans="1:7">
      <c r="A8" s="11" t="s">
        <v>470</v>
      </c>
      <c r="B8" s="20" t="s">
        <v>471</v>
      </c>
      <c r="C8" s="11" t="s">
        <v>18</v>
      </c>
      <c r="D8" s="9" t="s">
        <v>728</v>
      </c>
      <c r="E8" s="105"/>
      <c r="F8" s="45" t="s">
        <v>729</v>
      </c>
      <c r="G8" s="7"/>
    </row>
    <row r="9" spans="1:7">
      <c r="A9" s="11" t="s">
        <v>730</v>
      </c>
      <c r="B9" s="20" t="s">
        <v>731</v>
      </c>
      <c r="C9" s="11" t="s">
        <v>18</v>
      </c>
      <c r="D9" s="9" t="s">
        <v>732</v>
      </c>
      <c r="E9" s="106"/>
      <c r="F9" s="45" t="s">
        <v>733</v>
      </c>
      <c r="G9" s="7"/>
    </row>
    <row r="10" spans="1:7">
      <c r="A10" s="11" t="s">
        <v>734</v>
      </c>
      <c r="B10" s="20" t="s">
        <v>735</v>
      </c>
      <c r="C10" s="11" t="s">
        <v>18</v>
      </c>
      <c r="D10" s="9" t="s">
        <v>736</v>
      </c>
      <c r="E10" s="112" t="s">
        <v>406</v>
      </c>
      <c r="F10" s="46" t="s">
        <v>737</v>
      </c>
      <c r="G10" s="7"/>
    </row>
    <row r="11" spans="1:7">
      <c r="A11" s="11" t="s">
        <v>738</v>
      </c>
      <c r="B11" s="20" t="s">
        <v>739</v>
      </c>
      <c r="C11" s="11" t="s">
        <v>18</v>
      </c>
      <c r="D11" s="9" t="s">
        <v>740</v>
      </c>
      <c r="E11" s="105"/>
      <c r="F11" s="46" t="s">
        <v>741</v>
      </c>
      <c r="G11" s="7"/>
    </row>
    <row r="12" spans="1:7">
      <c r="A12" s="11" t="s">
        <v>511</v>
      </c>
      <c r="B12" s="20" t="s">
        <v>512</v>
      </c>
      <c r="C12" s="11" t="s">
        <v>18</v>
      </c>
      <c r="D12" s="9" t="s">
        <v>742</v>
      </c>
      <c r="E12" s="105"/>
      <c r="F12" s="46" t="s">
        <v>743</v>
      </c>
      <c r="G12" s="7"/>
    </row>
    <row r="13" spans="1:7">
      <c r="A13" s="11" t="s">
        <v>744</v>
      </c>
      <c r="B13" s="20" t="s">
        <v>745</v>
      </c>
      <c r="C13" s="11" t="s">
        <v>18</v>
      </c>
      <c r="D13" s="9" t="s">
        <v>746</v>
      </c>
      <c r="E13" s="106"/>
      <c r="F13" s="46" t="s">
        <v>747</v>
      </c>
      <c r="G13" s="7"/>
    </row>
    <row r="14" spans="1:7">
      <c r="A14" s="11" t="s">
        <v>748</v>
      </c>
      <c r="B14" s="20" t="s">
        <v>749</v>
      </c>
      <c r="C14" s="11" t="s">
        <v>18</v>
      </c>
      <c r="D14" s="9" t="s">
        <v>750</v>
      </c>
      <c r="E14" s="112" t="s">
        <v>406</v>
      </c>
      <c r="F14" s="45" t="s">
        <v>737</v>
      </c>
      <c r="G14" s="7"/>
    </row>
    <row r="15" spans="1:7">
      <c r="A15" s="11" t="s">
        <v>751</v>
      </c>
      <c r="B15" s="20" t="s">
        <v>752</v>
      </c>
      <c r="C15" s="11" t="s">
        <v>18</v>
      </c>
      <c r="D15" s="9" t="s">
        <v>753</v>
      </c>
      <c r="E15" s="105"/>
      <c r="F15" s="45" t="s">
        <v>741</v>
      </c>
      <c r="G15" s="7"/>
    </row>
    <row r="16" spans="1:7">
      <c r="A16" s="11" t="s">
        <v>754</v>
      </c>
      <c r="B16" s="20" t="s">
        <v>755</v>
      </c>
      <c r="C16" s="11" t="s">
        <v>18</v>
      </c>
      <c r="D16" s="9" t="s">
        <v>756</v>
      </c>
      <c r="E16" s="105"/>
      <c r="F16" s="45" t="s">
        <v>743</v>
      </c>
      <c r="G16" s="7"/>
    </row>
    <row r="17" spans="1:7">
      <c r="A17" s="11" t="s">
        <v>757</v>
      </c>
      <c r="B17" s="20" t="s">
        <v>758</v>
      </c>
      <c r="C17" s="11" t="s">
        <v>18</v>
      </c>
      <c r="D17" s="9" t="s">
        <v>759</v>
      </c>
      <c r="E17" s="106"/>
      <c r="F17" s="45" t="s">
        <v>747</v>
      </c>
      <c r="G17" s="7"/>
    </row>
    <row r="18" spans="1:7">
      <c r="A18" s="11" t="s">
        <v>760</v>
      </c>
      <c r="B18" s="20" t="s">
        <v>761</v>
      </c>
      <c r="C18" s="11" t="s">
        <v>18</v>
      </c>
      <c r="D18" s="9" t="s">
        <v>762</v>
      </c>
      <c r="E18" s="112" t="s">
        <v>406</v>
      </c>
      <c r="F18" s="45" t="s">
        <v>763</v>
      </c>
      <c r="G18" s="7"/>
    </row>
    <row r="19" spans="1:7">
      <c r="A19" s="11" t="s">
        <v>764</v>
      </c>
      <c r="B19" s="20" t="s">
        <v>765</v>
      </c>
      <c r="C19" s="11" t="s">
        <v>18</v>
      </c>
      <c r="D19" s="9" t="s">
        <v>766</v>
      </c>
      <c r="E19" s="105"/>
      <c r="F19" s="45" t="s">
        <v>767</v>
      </c>
      <c r="G19" s="7"/>
    </row>
    <row r="20" spans="1:7">
      <c r="A20" s="11" t="s">
        <v>375</v>
      </c>
      <c r="B20" s="20" t="s">
        <v>376</v>
      </c>
      <c r="C20" s="11" t="s">
        <v>18</v>
      </c>
      <c r="D20" s="9" t="s">
        <v>768</v>
      </c>
      <c r="E20" s="105"/>
      <c r="F20" s="45" t="s">
        <v>769</v>
      </c>
      <c r="G20" s="7"/>
    </row>
    <row r="21" spans="1:7">
      <c r="A21" s="11" t="s">
        <v>770</v>
      </c>
      <c r="B21" s="20" t="s">
        <v>771</v>
      </c>
      <c r="C21" s="11" t="s">
        <v>18</v>
      </c>
      <c r="D21" s="9" t="s">
        <v>772</v>
      </c>
      <c r="E21" s="106"/>
      <c r="F21" s="45" t="s">
        <v>773</v>
      </c>
      <c r="G21" s="7"/>
    </row>
    <row r="22" spans="1:7">
      <c r="A22" s="11" t="s">
        <v>774</v>
      </c>
      <c r="B22" s="20" t="s">
        <v>775</v>
      </c>
      <c r="C22" s="11" t="s">
        <v>18</v>
      </c>
      <c r="D22" s="9" t="s">
        <v>776</v>
      </c>
      <c r="E22" s="112" t="s">
        <v>406</v>
      </c>
      <c r="F22" s="46" t="s">
        <v>777</v>
      </c>
      <c r="G22" s="7"/>
    </row>
    <row r="23" spans="1:7">
      <c r="A23" s="11" t="s">
        <v>778</v>
      </c>
      <c r="B23" s="20" t="s">
        <v>779</v>
      </c>
      <c r="C23" s="11" t="s">
        <v>18</v>
      </c>
      <c r="D23" s="9" t="s">
        <v>780</v>
      </c>
      <c r="E23" s="105"/>
      <c r="F23" s="46" t="s">
        <v>714</v>
      </c>
      <c r="G23" s="7"/>
    </row>
    <row r="24" spans="1:7">
      <c r="A24" s="11" t="s">
        <v>781</v>
      </c>
      <c r="B24" s="20" t="s">
        <v>782</v>
      </c>
      <c r="C24" s="11" t="s">
        <v>18</v>
      </c>
      <c r="D24" s="9" t="s">
        <v>783</v>
      </c>
      <c r="E24" s="105"/>
      <c r="F24" s="46" t="s">
        <v>784</v>
      </c>
      <c r="G24" s="7"/>
    </row>
    <row r="25" spans="1:7">
      <c r="A25" s="11" t="s">
        <v>785</v>
      </c>
      <c r="B25" s="20" t="s">
        <v>786</v>
      </c>
      <c r="C25" s="11" t="s">
        <v>18</v>
      </c>
      <c r="D25" s="9" t="s">
        <v>787</v>
      </c>
      <c r="E25" s="106"/>
      <c r="F25" s="46" t="s">
        <v>232</v>
      </c>
      <c r="G25" s="7"/>
    </row>
    <row r="26" spans="1:7">
      <c r="A26" s="11" t="s">
        <v>788</v>
      </c>
      <c r="B26" s="20" t="s">
        <v>789</v>
      </c>
      <c r="C26" s="11" t="s">
        <v>18</v>
      </c>
      <c r="D26" s="9" t="s">
        <v>790</v>
      </c>
      <c r="E26" s="112" t="s">
        <v>406</v>
      </c>
      <c r="F26" s="46" t="s">
        <v>791</v>
      </c>
      <c r="G26" s="7" t="s">
        <v>792</v>
      </c>
    </row>
    <row r="27" spans="1:7">
      <c r="A27" s="11" t="s">
        <v>793</v>
      </c>
      <c r="B27" s="20" t="s">
        <v>794</v>
      </c>
      <c r="C27" s="11" t="s">
        <v>18</v>
      </c>
      <c r="D27" s="9" t="s">
        <v>795</v>
      </c>
      <c r="E27" s="105"/>
      <c r="F27" s="54" t="s">
        <v>796</v>
      </c>
      <c r="G27" s="7" t="s">
        <v>797</v>
      </c>
    </row>
    <row r="28" spans="1:7">
      <c r="A28" s="11" t="s">
        <v>798</v>
      </c>
      <c r="B28" s="20" t="s">
        <v>799</v>
      </c>
      <c r="C28" s="11" t="s">
        <v>18</v>
      </c>
      <c r="D28" s="9" t="s">
        <v>800</v>
      </c>
      <c r="E28" s="105"/>
      <c r="F28" s="46" t="s">
        <v>801</v>
      </c>
      <c r="G28" s="7" t="s">
        <v>802</v>
      </c>
    </row>
    <row r="29" spans="1:7">
      <c r="A29" s="11" t="s">
        <v>803</v>
      </c>
      <c r="B29" s="20" t="s">
        <v>804</v>
      </c>
      <c r="C29" s="11" t="s">
        <v>18</v>
      </c>
      <c r="D29" s="9" t="s">
        <v>805</v>
      </c>
      <c r="E29" s="106"/>
      <c r="F29" s="54" t="s">
        <v>806</v>
      </c>
      <c r="G29" s="7" t="s">
        <v>807</v>
      </c>
    </row>
    <row r="30" spans="1:7">
      <c r="A30" s="11" t="s">
        <v>808</v>
      </c>
      <c r="B30" s="20" t="s">
        <v>809</v>
      </c>
      <c r="C30" s="11" t="s">
        <v>18</v>
      </c>
      <c r="D30" s="9" t="s">
        <v>810</v>
      </c>
      <c r="E30" s="112" t="s">
        <v>406</v>
      </c>
      <c r="F30" s="46" t="s">
        <v>811</v>
      </c>
      <c r="G30" s="30"/>
    </row>
    <row r="31" spans="1:7">
      <c r="A31" s="11" t="s">
        <v>812</v>
      </c>
      <c r="B31" s="20" t="s">
        <v>813</v>
      </c>
      <c r="C31" s="11" t="s">
        <v>18</v>
      </c>
      <c r="D31" s="9" t="s">
        <v>814</v>
      </c>
      <c r="E31" s="105"/>
      <c r="F31" s="46" t="s">
        <v>815</v>
      </c>
      <c r="G31" s="30"/>
    </row>
    <row r="32" spans="1:7">
      <c r="A32" s="11" t="s">
        <v>816</v>
      </c>
      <c r="B32" s="20" t="s">
        <v>817</v>
      </c>
      <c r="C32" s="11" t="s">
        <v>18</v>
      </c>
      <c r="D32" s="9" t="s">
        <v>818</v>
      </c>
      <c r="E32" s="105"/>
      <c r="F32" s="46" t="s">
        <v>819</v>
      </c>
      <c r="G32" s="30"/>
    </row>
    <row r="33" spans="1:7">
      <c r="A33" s="11" t="s">
        <v>820</v>
      </c>
      <c r="B33" s="20" t="s">
        <v>821</v>
      </c>
      <c r="C33" s="11" t="s">
        <v>18</v>
      </c>
      <c r="D33" s="9" t="s">
        <v>822</v>
      </c>
      <c r="E33" s="106"/>
      <c r="F33" s="46" t="s">
        <v>823</v>
      </c>
      <c r="G33" s="30"/>
    </row>
    <row r="34" spans="1:7">
      <c r="A34" s="11" t="s">
        <v>824</v>
      </c>
      <c r="B34" s="20" t="s">
        <v>825</v>
      </c>
      <c r="C34" s="11" t="s">
        <v>18</v>
      </c>
      <c r="D34" s="9" t="s">
        <v>826</v>
      </c>
      <c r="E34" s="112" t="s">
        <v>406</v>
      </c>
      <c r="F34" s="46" t="s">
        <v>827</v>
      </c>
      <c r="G34" s="7" t="s">
        <v>828</v>
      </c>
    </row>
    <row r="35" spans="1:7">
      <c r="A35" s="11" t="s">
        <v>829</v>
      </c>
      <c r="B35" s="20" t="s">
        <v>830</v>
      </c>
      <c r="C35" s="11" t="s">
        <v>18</v>
      </c>
      <c r="D35" s="9" t="s">
        <v>831</v>
      </c>
      <c r="E35" s="105"/>
      <c r="F35" s="82" t="s">
        <v>806</v>
      </c>
      <c r="G35" s="83" t="s">
        <v>832</v>
      </c>
    </row>
    <row r="36" spans="1:7">
      <c r="A36" s="11" t="s">
        <v>833</v>
      </c>
      <c r="B36" s="20" t="s">
        <v>834</v>
      </c>
      <c r="C36" s="11" t="s">
        <v>18</v>
      </c>
      <c r="D36" s="9" t="s">
        <v>835</v>
      </c>
      <c r="E36" s="105"/>
      <c r="F36" s="46" t="s">
        <v>836</v>
      </c>
      <c r="G36" s="7" t="s">
        <v>837</v>
      </c>
    </row>
    <row r="37" spans="1:7">
      <c r="A37" s="11" t="s">
        <v>838</v>
      </c>
      <c r="B37" s="20" t="s">
        <v>839</v>
      </c>
      <c r="C37" s="11" t="s">
        <v>18</v>
      </c>
      <c r="D37" s="9" t="s">
        <v>840</v>
      </c>
      <c r="E37" s="106"/>
      <c r="F37" s="82" t="s">
        <v>841</v>
      </c>
      <c r="G37" s="83" t="s">
        <v>842</v>
      </c>
    </row>
    <row r="38" spans="1:7">
      <c r="A38" s="11" t="s">
        <v>843</v>
      </c>
      <c r="B38" s="20" t="s">
        <v>844</v>
      </c>
      <c r="C38" s="11">
        <v>30</v>
      </c>
      <c r="D38" s="9" t="s">
        <v>845</v>
      </c>
      <c r="E38" s="9"/>
      <c r="F38" s="46" t="s">
        <v>846</v>
      </c>
      <c r="G38" s="7"/>
    </row>
    <row r="39" spans="1:7">
      <c r="A39" s="11" t="s">
        <v>847</v>
      </c>
      <c r="B39" s="20" t="s">
        <v>848</v>
      </c>
      <c r="C39" s="11">
        <v>25</v>
      </c>
      <c r="D39" s="9" t="s">
        <v>849</v>
      </c>
      <c r="E39" s="9"/>
      <c r="F39" s="46" t="s">
        <v>850</v>
      </c>
      <c r="G39" s="7"/>
    </row>
    <row r="40" spans="1:7">
      <c r="A40" s="11">
        <v>255</v>
      </c>
      <c r="B40" s="20" t="str">
        <f>DEC2HEX(A40, 2)</f>
        <v>FF</v>
      </c>
      <c r="C40" s="11">
        <v>1</v>
      </c>
      <c r="D40" s="9" t="s">
        <v>705</v>
      </c>
      <c r="E40" s="9"/>
      <c r="F40" s="46" t="s">
        <v>12</v>
      </c>
      <c r="G40" s="7"/>
    </row>
  </sheetData>
  <mergeCells count="9">
    <mergeCell ref="E34:E37"/>
    <mergeCell ref="E2:E5"/>
    <mergeCell ref="E6:E9"/>
    <mergeCell ref="E10:E13"/>
    <mergeCell ref="E26:E29"/>
    <mergeCell ref="E18:E21"/>
    <mergeCell ref="E22:E25"/>
    <mergeCell ref="E14:E17"/>
    <mergeCell ref="E30:E33"/>
  </mergeCells>
  <pageMargins left="0.7" right="0.7" top="0.75" bottom="0.75"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2"/>
  <sheetViews>
    <sheetView tabSelected="1" workbookViewId="0">
      <selection activeCell="H34" sqref="H34"/>
    </sheetView>
  </sheetViews>
  <sheetFormatPr defaultRowHeight="14.5"/>
  <cols>
    <col min="1" max="1" width="8.453125" bestFit="1" customWidth="1"/>
    <col min="2" max="2" width="8.453125" customWidth="1"/>
    <col min="3" max="3" width="4.81640625" bestFit="1" customWidth="1"/>
    <col min="4" max="4" width="12.1796875" bestFit="1" customWidth="1"/>
    <col min="5" max="5" width="15.453125" bestFit="1" customWidth="1"/>
    <col min="6" max="6" width="10.54296875" bestFit="1" customWidth="1"/>
  </cols>
  <sheetData>
    <row r="1" spans="1:6">
      <c r="A1" s="6" t="s">
        <v>0</v>
      </c>
      <c r="B1" s="6" t="s">
        <v>1</v>
      </c>
      <c r="C1" s="6" t="s">
        <v>2</v>
      </c>
      <c r="D1" s="6" t="s">
        <v>3</v>
      </c>
      <c r="E1" s="6" t="s">
        <v>5</v>
      </c>
      <c r="F1" s="6" t="s">
        <v>6</v>
      </c>
    </row>
    <row r="2" spans="1:6">
      <c r="A2" s="7" t="s">
        <v>851</v>
      </c>
      <c r="B2" s="18" t="s">
        <v>852</v>
      </c>
      <c r="C2" s="7" t="s">
        <v>18</v>
      </c>
      <c r="D2" s="7" t="s">
        <v>853</v>
      </c>
      <c r="E2" s="46" t="s">
        <v>58</v>
      </c>
      <c r="F2" s="7"/>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414"/>
  <sheetViews>
    <sheetView zoomScaleNormal="100" workbookViewId="0">
      <pane xSplit="4" ySplit="1" topLeftCell="E2" activePane="bottomRight" state="frozen"/>
      <selection pane="topRight" activeCell="D121" sqref="D121:F121"/>
      <selection pane="bottomLeft" activeCell="D121" sqref="D121:F121"/>
      <selection pane="bottomRight" activeCell="M15" sqref="M15"/>
    </sheetView>
  </sheetViews>
  <sheetFormatPr defaultRowHeight="14.5"/>
  <cols>
    <col min="1" max="1" width="8.453125" style="3" bestFit="1" customWidth="1"/>
    <col min="2" max="2" width="8.453125" style="3" customWidth="1"/>
    <col min="3" max="3" width="5.81640625" style="41" bestFit="1" customWidth="1"/>
    <col min="4" max="4" width="43.1796875" style="5" bestFit="1" customWidth="1"/>
    <col min="5" max="5" width="6.1796875" style="5" bestFit="1" customWidth="1"/>
    <col min="6" max="6" width="14" style="3" bestFit="1" customWidth="1"/>
    <col min="7" max="7" width="81.81640625" style="41" bestFit="1" customWidth="1"/>
    <col min="8" max="8" width="14" style="41" customWidth="1"/>
  </cols>
  <sheetData>
    <row r="1" spans="1:7">
      <c r="A1" s="6" t="s">
        <v>0</v>
      </c>
      <c r="B1" s="6" t="s">
        <v>1</v>
      </c>
      <c r="C1" s="39" t="s">
        <v>2</v>
      </c>
      <c r="D1" s="4" t="s">
        <v>3</v>
      </c>
      <c r="E1" s="4" t="s">
        <v>4</v>
      </c>
      <c r="F1" s="6" t="s">
        <v>5</v>
      </c>
      <c r="G1" s="4" t="s">
        <v>6</v>
      </c>
    </row>
    <row r="2" spans="1:7">
      <c r="A2" s="107">
        <v>128</v>
      </c>
      <c r="B2" s="107" t="str">
        <f>DEC2HEX(A2, 2)</f>
        <v>80</v>
      </c>
      <c r="C2" s="30">
        <v>7</v>
      </c>
      <c r="D2" s="9" t="s">
        <v>8</v>
      </c>
      <c r="E2" s="111" t="s">
        <v>300</v>
      </c>
      <c r="F2" s="46" t="s">
        <v>12</v>
      </c>
      <c r="G2" s="9"/>
    </row>
    <row r="3" spans="1:7">
      <c r="A3" s="105"/>
      <c r="B3" s="105"/>
      <c r="C3" s="30">
        <v>6</v>
      </c>
      <c r="D3" s="9" t="s">
        <v>854</v>
      </c>
      <c r="E3" s="105"/>
      <c r="F3" s="46" t="s">
        <v>12</v>
      </c>
      <c r="G3" s="9"/>
    </row>
    <row r="4" spans="1:7">
      <c r="A4" s="105"/>
      <c r="B4" s="105"/>
      <c r="C4" s="30">
        <v>5</v>
      </c>
      <c r="D4" s="9" t="s">
        <v>855</v>
      </c>
      <c r="E4" s="105"/>
      <c r="F4" s="46" t="s">
        <v>12</v>
      </c>
      <c r="G4" s="9" t="s">
        <v>856</v>
      </c>
    </row>
    <row r="5" spans="1:7">
      <c r="A5" s="105"/>
      <c r="B5" s="105"/>
      <c r="C5" s="30">
        <v>4</v>
      </c>
      <c r="D5" s="9" t="s">
        <v>857</v>
      </c>
      <c r="E5" s="105"/>
      <c r="F5" s="46" t="s">
        <v>137</v>
      </c>
      <c r="G5" s="9" t="s">
        <v>858</v>
      </c>
    </row>
    <row r="6" spans="1:7">
      <c r="A6" s="105"/>
      <c r="B6" s="105"/>
      <c r="C6" s="30">
        <v>3</v>
      </c>
      <c r="D6" s="9" t="s">
        <v>859</v>
      </c>
      <c r="E6" s="105"/>
      <c r="F6" s="46" t="s">
        <v>137</v>
      </c>
      <c r="G6" s="9"/>
    </row>
    <row r="7" spans="1:7">
      <c r="A7" s="105"/>
      <c r="B7" s="105"/>
      <c r="C7" s="30">
        <v>2</v>
      </c>
      <c r="D7" s="9" t="s">
        <v>860</v>
      </c>
      <c r="E7" s="105"/>
      <c r="F7" s="46" t="s">
        <v>137</v>
      </c>
      <c r="G7" s="9"/>
    </row>
    <row r="8" spans="1:7">
      <c r="A8" s="105"/>
      <c r="B8" s="105"/>
      <c r="C8" s="30">
        <v>1</v>
      </c>
      <c r="D8" s="9" t="s">
        <v>861</v>
      </c>
      <c r="E8" s="105"/>
      <c r="F8" s="46" t="s">
        <v>137</v>
      </c>
      <c r="G8" s="9"/>
    </row>
    <row r="9" spans="1:7">
      <c r="A9" s="106"/>
      <c r="B9" s="106"/>
      <c r="C9" s="30">
        <v>0</v>
      </c>
      <c r="D9" s="9" t="s">
        <v>862</v>
      </c>
      <c r="E9" s="106"/>
      <c r="F9" s="46" t="s">
        <v>863</v>
      </c>
      <c r="G9" s="9"/>
    </row>
    <row r="10" spans="1:7">
      <c r="A10" s="107">
        <v>129</v>
      </c>
      <c r="B10" s="107" t="str">
        <f>DEC2HEX(A10, 2)</f>
        <v>81</v>
      </c>
      <c r="C10" s="40" t="s">
        <v>399</v>
      </c>
      <c r="D10" s="9" t="s">
        <v>864</v>
      </c>
      <c r="E10" s="111" t="s">
        <v>300</v>
      </c>
      <c r="F10" s="46" t="s">
        <v>521</v>
      </c>
      <c r="G10" s="9"/>
    </row>
    <row r="11" spans="1:7">
      <c r="A11" s="105"/>
      <c r="B11" s="105"/>
      <c r="C11" s="30">
        <v>5</v>
      </c>
      <c r="D11" s="9" t="s">
        <v>865</v>
      </c>
      <c r="E11" s="105"/>
      <c r="F11" s="46" t="s">
        <v>137</v>
      </c>
      <c r="G11" s="9" t="s">
        <v>866</v>
      </c>
    </row>
    <row r="12" spans="1:7">
      <c r="A12" s="105"/>
      <c r="B12" s="105"/>
      <c r="C12" s="30">
        <v>4</v>
      </c>
      <c r="D12" s="9" t="s">
        <v>867</v>
      </c>
      <c r="E12" s="105"/>
      <c r="F12" s="46" t="s">
        <v>137</v>
      </c>
      <c r="G12" s="9" t="s">
        <v>868</v>
      </c>
    </row>
    <row r="13" spans="1:7">
      <c r="A13" s="105"/>
      <c r="B13" s="105"/>
      <c r="C13" s="30">
        <v>3</v>
      </c>
      <c r="D13" s="9" t="s">
        <v>869</v>
      </c>
      <c r="E13" s="105"/>
      <c r="F13" s="46" t="s">
        <v>12</v>
      </c>
      <c r="G13" s="9"/>
    </row>
    <row r="14" spans="1:7">
      <c r="A14" s="105"/>
      <c r="B14" s="105"/>
      <c r="C14" s="30">
        <v>2</v>
      </c>
      <c r="D14" s="9" t="s">
        <v>870</v>
      </c>
      <c r="E14" s="105"/>
      <c r="F14" s="46" t="s">
        <v>137</v>
      </c>
      <c r="G14" s="9" t="s">
        <v>871</v>
      </c>
    </row>
    <row r="15" spans="1:7">
      <c r="A15" s="106"/>
      <c r="B15" s="106"/>
      <c r="C15" s="30" t="s">
        <v>13</v>
      </c>
      <c r="D15" s="9" t="s">
        <v>8</v>
      </c>
      <c r="E15" s="106"/>
      <c r="F15" s="46" t="s">
        <v>32</v>
      </c>
      <c r="G15" s="9"/>
    </row>
    <row r="16" spans="1:7">
      <c r="A16" s="107">
        <v>130</v>
      </c>
      <c r="B16" s="107" t="str">
        <f>DEC2HEX(A16, 2)</f>
        <v>82</v>
      </c>
      <c r="C16" s="30">
        <v>7</v>
      </c>
      <c r="D16" s="9" t="s">
        <v>872</v>
      </c>
      <c r="E16" s="111" t="s">
        <v>300</v>
      </c>
      <c r="F16" s="46" t="s">
        <v>12</v>
      </c>
      <c r="G16" s="9"/>
    </row>
    <row r="17" spans="1:7">
      <c r="A17" s="105"/>
      <c r="B17" s="105"/>
      <c r="C17" s="30">
        <v>6</v>
      </c>
      <c r="D17" s="9" t="s">
        <v>873</v>
      </c>
      <c r="E17" s="105"/>
      <c r="F17" s="46" t="s">
        <v>12</v>
      </c>
      <c r="G17" s="9"/>
    </row>
    <row r="18" spans="1:7">
      <c r="A18" s="105"/>
      <c r="B18" s="105"/>
      <c r="C18" s="30">
        <v>5</v>
      </c>
      <c r="D18" s="9" t="s">
        <v>874</v>
      </c>
      <c r="E18" s="105"/>
      <c r="F18" s="46" t="s">
        <v>12</v>
      </c>
      <c r="G18" s="9" t="s">
        <v>875</v>
      </c>
    </row>
    <row r="19" spans="1:7">
      <c r="A19" s="105"/>
      <c r="B19" s="105"/>
      <c r="C19" s="30">
        <v>4</v>
      </c>
      <c r="D19" s="9" t="s">
        <v>876</v>
      </c>
      <c r="E19" s="105"/>
      <c r="F19" s="46" t="s">
        <v>12</v>
      </c>
      <c r="G19" s="9" t="s">
        <v>877</v>
      </c>
    </row>
    <row r="20" spans="1:7">
      <c r="A20" s="105"/>
      <c r="B20" s="105"/>
      <c r="C20" s="30">
        <v>3</v>
      </c>
      <c r="D20" s="9" t="s">
        <v>8</v>
      </c>
      <c r="E20" s="105"/>
      <c r="F20" s="46" t="s">
        <v>12</v>
      </c>
      <c r="G20" s="9"/>
    </row>
    <row r="21" spans="1:7">
      <c r="A21" s="105"/>
      <c r="B21" s="105"/>
      <c r="C21" s="30">
        <v>2</v>
      </c>
      <c r="D21" s="9" t="s">
        <v>8</v>
      </c>
      <c r="E21" s="105"/>
      <c r="F21" s="46" t="s">
        <v>12</v>
      </c>
      <c r="G21" s="9"/>
    </row>
    <row r="22" spans="1:7">
      <c r="A22" s="105"/>
      <c r="B22" s="105"/>
      <c r="C22" s="30">
        <v>1</v>
      </c>
      <c r="D22" s="9" t="s">
        <v>878</v>
      </c>
      <c r="E22" s="105"/>
      <c r="F22" s="46" t="s">
        <v>137</v>
      </c>
      <c r="G22" s="9" t="s">
        <v>879</v>
      </c>
    </row>
    <row r="23" spans="1:7">
      <c r="A23" s="106"/>
      <c r="B23" s="106"/>
      <c r="C23" s="30">
        <v>0</v>
      </c>
      <c r="D23" s="9" t="s">
        <v>880</v>
      </c>
      <c r="E23" s="106"/>
      <c r="F23" s="46" t="s">
        <v>451</v>
      </c>
      <c r="G23" s="9" t="s">
        <v>881</v>
      </c>
    </row>
    <row r="24" spans="1:7">
      <c r="A24" s="107">
        <v>131</v>
      </c>
      <c r="B24" s="107" t="str">
        <f>DEC2HEX(A24, 2)</f>
        <v>83</v>
      </c>
      <c r="C24" s="30">
        <v>7</v>
      </c>
      <c r="D24" s="9" t="s">
        <v>882</v>
      </c>
      <c r="E24" s="111" t="s">
        <v>300</v>
      </c>
      <c r="F24" s="46" t="s">
        <v>137</v>
      </c>
      <c r="G24" s="9"/>
    </row>
    <row r="25" spans="1:7">
      <c r="A25" s="105"/>
      <c r="B25" s="105"/>
      <c r="C25" s="30">
        <v>6</v>
      </c>
      <c r="D25" s="9" t="s">
        <v>883</v>
      </c>
      <c r="E25" s="105"/>
      <c r="F25" s="46" t="s">
        <v>12</v>
      </c>
      <c r="G25" s="9" t="s">
        <v>884</v>
      </c>
    </row>
    <row r="26" spans="1:7">
      <c r="A26" s="105"/>
      <c r="B26" s="105"/>
      <c r="C26" s="30">
        <v>5</v>
      </c>
      <c r="D26" s="9" t="s">
        <v>885</v>
      </c>
      <c r="E26" s="105"/>
      <c r="F26" s="46" t="s">
        <v>137</v>
      </c>
      <c r="G26" s="9" t="s">
        <v>886</v>
      </c>
    </row>
    <row r="27" spans="1:7">
      <c r="A27" s="105"/>
      <c r="B27" s="105"/>
      <c r="C27" s="30">
        <v>4</v>
      </c>
      <c r="D27" s="9" t="s">
        <v>887</v>
      </c>
      <c r="E27" s="105"/>
      <c r="F27" s="46" t="s">
        <v>12</v>
      </c>
      <c r="G27" s="9"/>
    </row>
    <row r="28" spans="1:7">
      <c r="A28" s="105"/>
      <c r="B28" s="105"/>
      <c r="C28" s="30">
        <v>3</v>
      </c>
      <c r="D28" s="9" t="s">
        <v>888</v>
      </c>
      <c r="E28" s="105"/>
      <c r="F28" s="46" t="s">
        <v>137</v>
      </c>
      <c r="G28" s="9"/>
    </row>
    <row r="29" spans="1:7">
      <c r="A29" s="105"/>
      <c r="B29" s="105"/>
      <c r="C29" s="30">
        <v>2</v>
      </c>
      <c r="D29" s="9" t="s">
        <v>889</v>
      </c>
      <c r="E29" s="105"/>
      <c r="F29" s="46" t="s">
        <v>12</v>
      </c>
      <c r="G29" s="9" t="s">
        <v>890</v>
      </c>
    </row>
    <row r="30" spans="1:7">
      <c r="A30" s="105"/>
      <c r="B30" s="105"/>
      <c r="C30" s="30">
        <v>1</v>
      </c>
      <c r="D30" s="9" t="s">
        <v>891</v>
      </c>
      <c r="E30" s="105"/>
      <c r="F30" s="46" t="s">
        <v>137</v>
      </c>
      <c r="G30" s="9" t="s">
        <v>892</v>
      </c>
    </row>
    <row r="31" spans="1:7">
      <c r="A31" s="106"/>
      <c r="B31" s="106"/>
      <c r="C31" s="30">
        <v>0</v>
      </c>
      <c r="D31" s="9" t="s">
        <v>893</v>
      </c>
      <c r="E31" s="106"/>
      <c r="F31" s="46" t="s">
        <v>894</v>
      </c>
      <c r="G31" s="9"/>
    </row>
    <row r="32" spans="1:7">
      <c r="A32" s="107">
        <v>132</v>
      </c>
      <c r="B32" s="107" t="str">
        <f>DEC2HEX(A32, 2)</f>
        <v>84</v>
      </c>
      <c r="C32" s="30">
        <v>7</v>
      </c>
      <c r="D32" s="9" t="s">
        <v>895</v>
      </c>
      <c r="E32" s="111" t="s">
        <v>300</v>
      </c>
      <c r="F32" s="46" t="s">
        <v>12</v>
      </c>
      <c r="G32" s="9"/>
    </row>
    <row r="33" spans="1:7">
      <c r="A33" s="105"/>
      <c r="B33" s="105"/>
      <c r="C33" s="30">
        <v>6</v>
      </c>
      <c r="D33" s="9" t="s">
        <v>896</v>
      </c>
      <c r="E33" s="105"/>
      <c r="F33" s="46" t="s">
        <v>137</v>
      </c>
      <c r="G33" s="9"/>
    </row>
    <row r="34" spans="1:7">
      <c r="A34" s="105"/>
      <c r="B34" s="105"/>
      <c r="C34" s="30">
        <v>5</v>
      </c>
      <c r="D34" s="9" t="s">
        <v>897</v>
      </c>
      <c r="E34" s="105"/>
      <c r="F34" s="46" t="s">
        <v>12</v>
      </c>
      <c r="G34" s="9"/>
    </row>
    <row r="35" spans="1:7">
      <c r="A35" s="105"/>
      <c r="B35" s="105"/>
      <c r="C35" s="30">
        <v>4</v>
      </c>
      <c r="D35" s="9" t="s">
        <v>898</v>
      </c>
      <c r="E35" s="105"/>
      <c r="F35" s="46" t="s">
        <v>137</v>
      </c>
      <c r="G35" s="9"/>
    </row>
    <row r="36" spans="1:7">
      <c r="A36" s="105"/>
      <c r="B36" s="105"/>
      <c r="C36" s="30">
        <v>3</v>
      </c>
      <c r="D36" s="9" t="s">
        <v>899</v>
      </c>
      <c r="E36" s="105"/>
      <c r="F36" s="46" t="s">
        <v>12</v>
      </c>
      <c r="G36" s="9"/>
    </row>
    <row r="37" spans="1:7">
      <c r="A37" s="105"/>
      <c r="B37" s="105"/>
      <c r="C37" s="30">
        <v>2</v>
      </c>
      <c r="D37" s="9" t="s">
        <v>900</v>
      </c>
      <c r="E37" s="105"/>
      <c r="F37" s="46" t="s">
        <v>137</v>
      </c>
      <c r="G37" s="9"/>
    </row>
    <row r="38" spans="1:7">
      <c r="A38" s="105"/>
      <c r="B38" s="105"/>
      <c r="C38" s="30">
        <v>1</v>
      </c>
      <c r="D38" s="9" t="s">
        <v>901</v>
      </c>
      <c r="E38" s="105"/>
      <c r="F38" s="46" t="s">
        <v>12</v>
      </c>
      <c r="G38" s="9"/>
    </row>
    <row r="39" spans="1:7">
      <c r="A39" s="106"/>
      <c r="B39" s="106"/>
      <c r="C39" s="30">
        <v>0</v>
      </c>
      <c r="D39" s="9" t="s">
        <v>902</v>
      </c>
      <c r="E39" s="106"/>
      <c r="F39" s="46" t="s">
        <v>903</v>
      </c>
      <c r="G39" s="9"/>
    </row>
    <row r="40" spans="1:7">
      <c r="A40" s="107">
        <v>133</v>
      </c>
      <c r="B40" s="107" t="str">
        <f>DEC2HEX(A40, 2)</f>
        <v>85</v>
      </c>
      <c r="C40" s="30">
        <v>7</v>
      </c>
      <c r="D40" s="9" t="s">
        <v>904</v>
      </c>
      <c r="E40" s="111" t="s">
        <v>300</v>
      </c>
      <c r="F40" s="46" t="s">
        <v>12</v>
      </c>
      <c r="G40" s="9"/>
    </row>
    <row r="41" spans="1:7">
      <c r="A41" s="105"/>
      <c r="B41" s="105"/>
      <c r="C41" s="30">
        <v>6</v>
      </c>
      <c r="D41" s="9" t="s">
        <v>905</v>
      </c>
      <c r="E41" s="105"/>
      <c r="F41" s="46" t="s">
        <v>12</v>
      </c>
      <c r="G41" s="9"/>
    </row>
    <row r="42" spans="1:7">
      <c r="A42" s="105"/>
      <c r="B42" s="105"/>
      <c r="C42" s="30">
        <v>5</v>
      </c>
      <c r="D42" s="9" t="s">
        <v>906</v>
      </c>
      <c r="E42" s="105"/>
      <c r="F42" s="46" t="s">
        <v>12</v>
      </c>
      <c r="G42" s="9"/>
    </row>
    <row r="43" spans="1:7">
      <c r="A43" s="105"/>
      <c r="B43" s="105"/>
      <c r="C43" s="30">
        <v>4</v>
      </c>
      <c r="D43" s="9" t="s">
        <v>907</v>
      </c>
      <c r="E43" s="105"/>
      <c r="F43" s="46" t="s">
        <v>12</v>
      </c>
      <c r="G43" s="9"/>
    </row>
    <row r="44" spans="1:7">
      <c r="A44" s="105"/>
      <c r="B44" s="105"/>
      <c r="C44" s="30">
        <v>3</v>
      </c>
      <c r="D44" s="9" t="s">
        <v>908</v>
      </c>
      <c r="E44" s="105"/>
      <c r="F44" s="46" t="s">
        <v>12</v>
      </c>
      <c r="G44" s="9"/>
    </row>
    <row r="45" spans="1:7">
      <c r="A45" s="105"/>
      <c r="B45" s="105"/>
      <c r="C45" s="30">
        <v>2</v>
      </c>
      <c r="D45" s="9" t="s">
        <v>909</v>
      </c>
      <c r="E45" s="105"/>
      <c r="F45" s="46" t="s">
        <v>137</v>
      </c>
      <c r="G45" s="9"/>
    </row>
    <row r="46" spans="1:7">
      <c r="A46" s="105"/>
      <c r="B46" s="105"/>
      <c r="C46" s="30">
        <v>1</v>
      </c>
      <c r="D46" s="9" t="s">
        <v>910</v>
      </c>
      <c r="E46" s="105"/>
      <c r="F46" s="46" t="s">
        <v>12</v>
      </c>
      <c r="G46" s="9"/>
    </row>
    <row r="47" spans="1:7">
      <c r="A47" s="106"/>
      <c r="B47" s="106"/>
      <c r="C47" s="30">
        <v>0</v>
      </c>
      <c r="D47" s="9" t="s">
        <v>911</v>
      </c>
      <c r="E47" s="106"/>
      <c r="F47" s="46" t="s">
        <v>912</v>
      </c>
      <c r="G47" s="9"/>
    </row>
    <row r="48" spans="1:7">
      <c r="A48" s="107">
        <v>134</v>
      </c>
      <c r="B48" s="107" t="str">
        <f>DEC2HEX(A48, 2)</f>
        <v>86</v>
      </c>
      <c r="C48" s="30">
        <v>7</v>
      </c>
      <c r="D48" s="9" t="s">
        <v>913</v>
      </c>
      <c r="E48" s="111" t="s">
        <v>300</v>
      </c>
      <c r="F48" s="46" t="s">
        <v>12</v>
      </c>
      <c r="G48" s="9"/>
    </row>
    <row r="49" spans="1:7">
      <c r="A49" s="105"/>
      <c r="B49" s="105"/>
      <c r="C49" s="30">
        <v>6</v>
      </c>
      <c r="D49" s="9" t="s">
        <v>914</v>
      </c>
      <c r="E49" s="105"/>
      <c r="F49" s="46" t="s">
        <v>12</v>
      </c>
      <c r="G49" s="9"/>
    </row>
    <row r="50" spans="1:7">
      <c r="A50" s="105"/>
      <c r="B50" s="105"/>
      <c r="C50" s="30">
        <v>5</v>
      </c>
      <c r="D50" s="9" t="s">
        <v>915</v>
      </c>
      <c r="E50" s="105"/>
      <c r="F50" s="46" t="s">
        <v>12</v>
      </c>
      <c r="G50" s="9"/>
    </row>
    <row r="51" spans="1:7">
      <c r="A51" s="105"/>
      <c r="B51" s="105"/>
      <c r="C51" s="30">
        <v>4</v>
      </c>
      <c r="D51" s="9" t="s">
        <v>916</v>
      </c>
      <c r="E51" s="105"/>
      <c r="F51" s="46" t="s">
        <v>12</v>
      </c>
      <c r="G51" s="9"/>
    </row>
    <row r="52" spans="1:7">
      <c r="A52" s="105"/>
      <c r="B52" s="105"/>
      <c r="C52" s="30">
        <v>3</v>
      </c>
      <c r="D52" s="9" t="s">
        <v>917</v>
      </c>
      <c r="E52" s="105"/>
      <c r="F52" s="46" t="s">
        <v>12</v>
      </c>
      <c r="G52" s="9"/>
    </row>
    <row r="53" spans="1:7">
      <c r="A53" s="105"/>
      <c r="B53" s="105"/>
      <c r="C53" s="30">
        <v>2</v>
      </c>
      <c r="D53" s="9" t="s">
        <v>918</v>
      </c>
      <c r="E53" s="105"/>
      <c r="F53" s="46" t="s">
        <v>12</v>
      </c>
      <c r="G53" s="9"/>
    </row>
    <row r="54" spans="1:7">
      <c r="A54" s="105"/>
      <c r="B54" s="105"/>
      <c r="C54" s="30">
        <v>1</v>
      </c>
      <c r="D54" s="9" t="s">
        <v>919</v>
      </c>
      <c r="E54" s="105"/>
      <c r="F54" s="46" t="s">
        <v>12</v>
      </c>
      <c r="G54" s="9"/>
    </row>
    <row r="55" spans="1:7">
      <c r="A55" s="106"/>
      <c r="B55" s="106"/>
      <c r="C55" s="30">
        <v>0</v>
      </c>
      <c r="D55" s="9" t="s">
        <v>920</v>
      </c>
      <c r="E55" s="106"/>
      <c r="F55" s="46" t="s">
        <v>274</v>
      </c>
      <c r="G55" s="9"/>
    </row>
    <row r="56" spans="1:7">
      <c r="A56" s="107">
        <v>135</v>
      </c>
      <c r="B56" s="107" t="str">
        <f>DEC2HEX(A56, 2)</f>
        <v>87</v>
      </c>
      <c r="C56" s="30">
        <v>7</v>
      </c>
      <c r="D56" s="9" t="s">
        <v>921</v>
      </c>
      <c r="E56" s="111" t="s">
        <v>300</v>
      </c>
      <c r="F56" s="46" t="s">
        <v>12</v>
      </c>
      <c r="G56" s="9"/>
    </row>
    <row r="57" spans="1:7">
      <c r="A57" s="105"/>
      <c r="B57" s="105"/>
      <c r="C57" s="30">
        <v>6</v>
      </c>
      <c r="D57" s="9" t="s">
        <v>922</v>
      </c>
      <c r="E57" s="105"/>
      <c r="F57" s="46" t="s">
        <v>12</v>
      </c>
      <c r="G57" s="9"/>
    </row>
    <row r="58" spans="1:7">
      <c r="A58" s="105"/>
      <c r="B58" s="105"/>
      <c r="C58" s="30">
        <v>5</v>
      </c>
      <c r="D58" s="9" t="s">
        <v>923</v>
      </c>
      <c r="E58" s="105"/>
      <c r="F58" s="46" t="s">
        <v>12</v>
      </c>
      <c r="G58" s="9"/>
    </row>
    <row r="59" spans="1:7">
      <c r="A59" s="105"/>
      <c r="B59" s="105"/>
      <c r="C59" s="30">
        <v>4</v>
      </c>
      <c r="D59" s="9" t="s">
        <v>924</v>
      </c>
      <c r="E59" s="105"/>
      <c r="F59" s="46" t="s">
        <v>12</v>
      </c>
      <c r="G59" s="9"/>
    </row>
    <row r="60" spans="1:7">
      <c r="A60" s="105"/>
      <c r="B60" s="105"/>
      <c r="C60" s="30">
        <v>3</v>
      </c>
      <c r="D60" s="9" t="s">
        <v>925</v>
      </c>
      <c r="E60" s="105"/>
      <c r="F60" s="46" t="s">
        <v>12</v>
      </c>
      <c r="G60" s="9"/>
    </row>
    <row r="61" spans="1:7">
      <c r="A61" s="105"/>
      <c r="B61" s="105"/>
      <c r="C61" s="30">
        <v>2</v>
      </c>
      <c r="D61" s="9" t="s">
        <v>926</v>
      </c>
      <c r="E61" s="105"/>
      <c r="F61" s="46" t="s">
        <v>12</v>
      </c>
      <c r="G61" s="9"/>
    </row>
    <row r="62" spans="1:7">
      <c r="A62" s="105"/>
      <c r="B62" s="105"/>
      <c r="C62" s="30">
        <v>1</v>
      </c>
      <c r="D62" s="9" t="s">
        <v>927</v>
      </c>
      <c r="E62" s="105"/>
      <c r="F62" s="46" t="s">
        <v>12</v>
      </c>
      <c r="G62" s="9"/>
    </row>
    <row r="63" spans="1:7">
      <c r="A63" s="106"/>
      <c r="B63" s="106"/>
      <c r="C63" s="30">
        <v>0</v>
      </c>
      <c r="D63" s="9" t="s">
        <v>928</v>
      </c>
      <c r="E63" s="106"/>
      <c r="F63" s="46" t="s">
        <v>146</v>
      </c>
      <c r="G63" s="9"/>
    </row>
    <row r="64" spans="1:7">
      <c r="A64" s="107">
        <v>136</v>
      </c>
      <c r="B64" s="107" t="str">
        <f>DEC2HEX(A64, 2)</f>
        <v>88</v>
      </c>
      <c r="C64" s="30">
        <v>7</v>
      </c>
      <c r="D64" s="9" t="s">
        <v>929</v>
      </c>
      <c r="E64" s="111" t="s">
        <v>300</v>
      </c>
      <c r="F64" s="46" t="s">
        <v>12</v>
      </c>
      <c r="G64" s="9"/>
    </row>
    <row r="65" spans="1:7">
      <c r="A65" s="105"/>
      <c r="B65" s="105"/>
      <c r="C65" s="30">
        <v>6</v>
      </c>
      <c r="D65" s="9" t="s">
        <v>930</v>
      </c>
      <c r="E65" s="105"/>
      <c r="F65" s="46" t="s">
        <v>137</v>
      </c>
      <c r="G65" s="9"/>
    </row>
    <row r="66" spans="1:7">
      <c r="A66" s="105"/>
      <c r="B66" s="105"/>
      <c r="C66" s="30">
        <v>5</v>
      </c>
      <c r="D66" s="9" t="s">
        <v>931</v>
      </c>
      <c r="E66" s="105"/>
      <c r="F66" s="46" t="s">
        <v>12</v>
      </c>
      <c r="G66" s="9"/>
    </row>
    <row r="67" spans="1:7">
      <c r="A67" s="105"/>
      <c r="B67" s="105"/>
      <c r="C67" s="30">
        <v>4</v>
      </c>
      <c r="D67" s="9" t="s">
        <v>932</v>
      </c>
      <c r="E67" s="105"/>
      <c r="F67" s="46" t="s">
        <v>137</v>
      </c>
      <c r="G67" s="9"/>
    </row>
    <row r="68" spans="1:7">
      <c r="A68" s="105"/>
      <c r="B68" s="105"/>
      <c r="C68" s="30">
        <v>3</v>
      </c>
      <c r="D68" s="9" t="s">
        <v>933</v>
      </c>
      <c r="E68" s="105"/>
      <c r="F68" s="46" t="s">
        <v>12</v>
      </c>
      <c r="G68" s="9"/>
    </row>
    <row r="69" spans="1:7">
      <c r="A69" s="105"/>
      <c r="B69" s="105"/>
      <c r="C69" s="30">
        <v>2</v>
      </c>
      <c r="D69" s="9" t="s">
        <v>934</v>
      </c>
      <c r="E69" s="105"/>
      <c r="F69" s="46" t="s">
        <v>137</v>
      </c>
      <c r="G69" s="9"/>
    </row>
    <row r="70" spans="1:7">
      <c r="A70" s="105"/>
      <c r="B70" s="105"/>
      <c r="C70" s="30">
        <v>1</v>
      </c>
      <c r="D70" s="9" t="s">
        <v>935</v>
      </c>
      <c r="E70" s="105"/>
      <c r="F70" s="46" t="s">
        <v>12</v>
      </c>
      <c r="G70" s="9"/>
    </row>
    <row r="71" spans="1:7">
      <c r="A71" s="106"/>
      <c r="B71" s="106"/>
      <c r="C71" s="30">
        <v>0</v>
      </c>
      <c r="D71" s="9" t="s">
        <v>936</v>
      </c>
      <c r="E71" s="106"/>
      <c r="F71" s="46" t="s">
        <v>903</v>
      </c>
      <c r="G71" s="9"/>
    </row>
    <row r="72" spans="1:7">
      <c r="A72" s="107">
        <v>137</v>
      </c>
      <c r="B72" s="107" t="str">
        <f>DEC2HEX(A72, 2)</f>
        <v>89</v>
      </c>
      <c r="C72" s="30">
        <v>7</v>
      </c>
      <c r="D72" s="9" t="s">
        <v>937</v>
      </c>
      <c r="E72" s="111" t="s">
        <v>300</v>
      </c>
      <c r="F72" s="46" t="s">
        <v>12</v>
      </c>
      <c r="G72" s="9"/>
    </row>
    <row r="73" spans="1:7">
      <c r="A73" s="105"/>
      <c r="B73" s="105"/>
      <c r="C73" s="30">
        <v>6</v>
      </c>
      <c r="D73" s="9" t="s">
        <v>938</v>
      </c>
      <c r="E73" s="105"/>
      <c r="F73" s="46" t="s">
        <v>12</v>
      </c>
      <c r="G73" s="9"/>
    </row>
    <row r="74" spans="1:7">
      <c r="A74" s="105"/>
      <c r="B74" s="105"/>
      <c r="C74" s="30">
        <v>5</v>
      </c>
      <c r="D74" s="9" t="s">
        <v>939</v>
      </c>
      <c r="E74" s="105"/>
      <c r="F74" s="46" t="s">
        <v>12</v>
      </c>
      <c r="G74" s="9"/>
    </row>
    <row r="75" spans="1:7">
      <c r="A75" s="105"/>
      <c r="B75" s="105"/>
      <c r="C75" s="30">
        <v>4</v>
      </c>
      <c r="D75" s="9" t="s">
        <v>940</v>
      </c>
      <c r="E75" s="105"/>
      <c r="F75" s="46" t="s">
        <v>12</v>
      </c>
      <c r="G75" s="9"/>
    </row>
    <row r="76" spans="1:7">
      <c r="A76" s="105"/>
      <c r="B76" s="105"/>
      <c r="C76" s="30">
        <v>3</v>
      </c>
      <c r="D76" s="9" t="s">
        <v>941</v>
      </c>
      <c r="E76" s="105"/>
      <c r="F76" s="46" t="s">
        <v>12</v>
      </c>
      <c r="G76" s="9"/>
    </row>
    <row r="77" spans="1:7">
      <c r="A77" s="105"/>
      <c r="B77" s="105"/>
      <c r="C77" s="30">
        <v>2</v>
      </c>
      <c r="D77" s="9" t="s">
        <v>942</v>
      </c>
      <c r="E77" s="105"/>
      <c r="F77" s="46" t="s">
        <v>137</v>
      </c>
      <c r="G77" s="9"/>
    </row>
    <row r="78" spans="1:7">
      <c r="A78" s="105"/>
      <c r="B78" s="105"/>
      <c r="C78" s="30">
        <v>1</v>
      </c>
      <c r="D78" s="9" t="s">
        <v>943</v>
      </c>
      <c r="E78" s="105"/>
      <c r="F78" s="46" t="s">
        <v>12</v>
      </c>
      <c r="G78" s="9"/>
    </row>
    <row r="79" spans="1:7">
      <c r="A79" s="106"/>
      <c r="B79" s="106"/>
      <c r="C79" s="30">
        <v>0</v>
      </c>
      <c r="D79" s="9" t="s">
        <v>944</v>
      </c>
      <c r="E79" s="106"/>
      <c r="F79" s="46" t="s">
        <v>912</v>
      </c>
      <c r="G79" s="9"/>
    </row>
    <row r="80" spans="1:7">
      <c r="A80" s="107">
        <v>138</v>
      </c>
      <c r="B80" s="107" t="str">
        <f>DEC2HEX(A80, 2)</f>
        <v>8A</v>
      </c>
      <c r="C80" s="30">
        <v>7</v>
      </c>
      <c r="D80" s="9" t="s">
        <v>945</v>
      </c>
      <c r="E80" s="111" t="s">
        <v>300</v>
      </c>
      <c r="F80" s="46" t="s">
        <v>12</v>
      </c>
      <c r="G80" s="9"/>
    </row>
    <row r="81" spans="1:7">
      <c r="A81" s="105"/>
      <c r="B81" s="105"/>
      <c r="C81" s="30">
        <v>6</v>
      </c>
      <c r="D81" s="9" t="s">
        <v>946</v>
      </c>
      <c r="E81" s="105"/>
      <c r="F81" s="46" t="s">
        <v>12</v>
      </c>
      <c r="G81" s="9"/>
    </row>
    <row r="82" spans="1:7">
      <c r="A82" s="105"/>
      <c r="B82" s="105"/>
      <c r="C82" s="30">
        <v>5</v>
      </c>
      <c r="D82" s="9" t="s">
        <v>947</v>
      </c>
      <c r="E82" s="105"/>
      <c r="F82" s="46" t="s">
        <v>12</v>
      </c>
      <c r="G82" s="9"/>
    </row>
    <row r="83" spans="1:7">
      <c r="A83" s="105"/>
      <c r="B83" s="105"/>
      <c r="C83" s="30">
        <v>4</v>
      </c>
      <c r="D83" s="9" t="s">
        <v>948</v>
      </c>
      <c r="E83" s="105"/>
      <c r="F83" s="46" t="s">
        <v>12</v>
      </c>
      <c r="G83" s="9"/>
    </row>
    <row r="84" spans="1:7">
      <c r="A84" s="105"/>
      <c r="B84" s="105"/>
      <c r="C84" s="30">
        <v>3</v>
      </c>
      <c r="D84" s="9" t="s">
        <v>949</v>
      </c>
      <c r="E84" s="105"/>
      <c r="F84" s="46" t="s">
        <v>12</v>
      </c>
      <c r="G84" s="9"/>
    </row>
    <row r="85" spans="1:7">
      <c r="A85" s="105"/>
      <c r="B85" s="105"/>
      <c r="C85" s="30">
        <v>2</v>
      </c>
      <c r="D85" s="9" t="s">
        <v>950</v>
      </c>
      <c r="E85" s="105"/>
      <c r="F85" s="46" t="s">
        <v>12</v>
      </c>
      <c r="G85" s="9"/>
    </row>
    <row r="86" spans="1:7">
      <c r="A86" s="105"/>
      <c r="B86" s="105"/>
      <c r="C86" s="30">
        <v>1</v>
      </c>
      <c r="D86" s="9" t="s">
        <v>951</v>
      </c>
      <c r="E86" s="105"/>
      <c r="F86" s="46" t="s">
        <v>12</v>
      </c>
      <c r="G86" s="9"/>
    </row>
    <row r="87" spans="1:7">
      <c r="A87" s="106"/>
      <c r="B87" s="106"/>
      <c r="C87" s="30">
        <v>0</v>
      </c>
      <c r="D87" s="9" t="s">
        <v>952</v>
      </c>
      <c r="E87" s="106"/>
      <c r="F87" s="46" t="s">
        <v>274</v>
      </c>
      <c r="G87" s="9"/>
    </row>
    <row r="88" spans="1:7">
      <c r="A88" s="107">
        <v>139</v>
      </c>
      <c r="B88" s="107" t="str">
        <f>DEC2HEX(A88, 2)</f>
        <v>8B</v>
      </c>
      <c r="C88" s="30">
        <v>7</v>
      </c>
      <c r="D88" s="9" t="s">
        <v>953</v>
      </c>
      <c r="E88" s="111" t="s">
        <v>300</v>
      </c>
      <c r="F88" s="46" t="s">
        <v>12</v>
      </c>
      <c r="G88" s="9"/>
    </row>
    <row r="89" spans="1:7">
      <c r="A89" s="105"/>
      <c r="B89" s="105"/>
      <c r="C89" s="30">
        <v>6</v>
      </c>
      <c r="D89" s="9" t="s">
        <v>954</v>
      </c>
      <c r="E89" s="105"/>
      <c r="F89" s="46" t="s">
        <v>12</v>
      </c>
      <c r="G89" s="9"/>
    </row>
    <row r="90" spans="1:7">
      <c r="A90" s="105"/>
      <c r="B90" s="105"/>
      <c r="C90" s="30">
        <v>5</v>
      </c>
      <c r="D90" s="9" t="s">
        <v>955</v>
      </c>
      <c r="E90" s="105"/>
      <c r="F90" s="46" t="s">
        <v>12</v>
      </c>
      <c r="G90" s="9"/>
    </row>
    <row r="91" spans="1:7">
      <c r="A91" s="105"/>
      <c r="B91" s="105"/>
      <c r="C91" s="30">
        <v>4</v>
      </c>
      <c r="D91" s="9" t="s">
        <v>956</v>
      </c>
      <c r="E91" s="105"/>
      <c r="F91" s="46" t="s">
        <v>12</v>
      </c>
      <c r="G91" s="9"/>
    </row>
    <row r="92" spans="1:7">
      <c r="A92" s="105"/>
      <c r="B92" s="105"/>
      <c r="C92" s="30">
        <v>3</v>
      </c>
      <c r="D92" s="9" t="s">
        <v>957</v>
      </c>
      <c r="E92" s="105"/>
      <c r="F92" s="46" t="s">
        <v>12</v>
      </c>
      <c r="G92" s="9"/>
    </row>
    <row r="93" spans="1:7">
      <c r="A93" s="105"/>
      <c r="B93" s="105"/>
      <c r="C93" s="30">
        <v>2</v>
      </c>
      <c r="D93" s="9" t="s">
        <v>958</v>
      </c>
      <c r="E93" s="105"/>
      <c r="F93" s="46" t="s">
        <v>12</v>
      </c>
      <c r="G93" s="9"/>
    </row>
    <row r="94" spans="1:7">
      <c r="A94" s="105"/>
      <c r="B94" s="105"/>
      <c r="C94" s="30">
        <v>1</v>
      </c>
      <c r="D94" s="9" t="s">
        <v>959</v>
      </c>
      <c r="E94" s="105"/>
      <c r="F94" s="46" t="s">
        <v>12</v>
      </c>
      <c r="G94" s="9"/>
    </row>
    <row r="95" spans="1:7">
      <c r="A95" s="106"/>
      <c r="B95" s="106"/>
      <c r="C95" s="30">
        <v>0</v>
      </c>
      <c r="D95" s="9" t="s">
        <v>960</v>
      </c>
      <c r="E95" s="106"/>
      <c r="F95" s="46" t="s">
        <v>146</v>
      </c>
      <c r="G95" s="9"/>
    </row>
    <row r="96" spans="1:7">
      <c r="A96" s="107">
        <v>140</v>
      </c>
      <c r="B96" s="107" t="str">
        <f>DEC2HEX(A96, 2)</f>
        <v>8C</v>
      </c>
      <c r="C96" s="40" t="s">
        <v>399</v>
      </c>
      <c r="D96" s="9" t="s">
        <v>961</v>
      </c>
      <c r="E96" s="111" t="s">
        <v>300</v>
      </c>
      <c r="F96" s="46" t="s">
        <v>32</v>
      </c>
      <c r="G96" s="9"/>
    </row>
    <row r="97" spans="1:7">
      <c r="A97" s="105"/>
      <c r="B97" s="105"/>
      <c r="C97" s="30">
        <v>5</v>
      </c>
      <c r="D97" s="9" t="s">
        <v>962</v>
      </c>
      <c r="E97" s="105"/>
      <c r="F97" s="46" t="s">
        <v>12</v>
      </c>
      <c r="G97" s="9"/>
    </row>
    <row r="98" spans="1:7">
      <c r="A98" s="105"/>
      <c r="B98" s="105"/>
      <c r="C98" s="30">
        <v>4</v>
      </c>
      <c r="D98" s="9" t="s">
        <v>8</v>
      </c>
      <c r="E98" s="105"/>
      <c r="F98" s="46" t="s">
        <v>12</v>
      </c>
      <c r="G98" s="9"/>
    </row>
    <row r="99" spans="1:7">
      <c r="A99" s="106"/>
      <c r="B99" s="106"/>
      <c r="C99" s="30" t="s">
        <v>227</v>
      </c>
      <c r="D99" s="9" t="s">
        <v>963</v>
      </c>
      <c r="E99" s="106"/>
      <c r="F99" s="46" t="s">
        <v>30</v>
      </c>
      <c r="G99" s="8"/>
    </row>
    <row r="100" spans="1:7">
      <c r="A100" s="107">
        <v>141</v>
      </c>
      <c r="B100" s="107" t="str">
        <f>DEC2HEX(A100, 2)</f>
        <v>8D</v>
      </c>
      <c r="C100" s="30">
        <v>7</v>
      </c>
      <c r="D100" s="9" t="s">
        <v>964</v>
      </c>
      <c r="E100" s="111" t="s">
        <v>300</v>
      </c>
      <c r="F100" s="46" t="s">
        <v>12</v>
      </c>
      <c r="G100" s="9"/>
    </row>
    <row r="101" spans="1:7">
      <c r="A101" s="105"/>
      <c r="B101" s="105"/>
      <c r="C101" s="30">
        <v>6</v>
      </c>
      <c r="D101" s="9" t="s">
        <v>965</v>
      </c>
      <c r="E101" s="105"/>
      <c r="F101" s="46" t="s">
        <v>12</v>
      </c>
      <c r="G101" s="9"/>
    </row>
    <row r="102" spans="1:7">
      <c r="A102" s="105"/>
      <c r="B102" s="105"/>
      <c r="C102" s="30">
        <v>5</v>
      </c>
      <c r="D102" s="9" t="s">
        <v>966</v>
      </c>
      <c r="E102" s="105"/>
      <c r="F102" s="46" t="s">
        <v>12</v>
      </c>
      <c r="G102" s="9"/>
    </row>
    <row r="103" spans="1:7">
      <c r="A103" s="105"/>
      <c r="B103" s="105"/>
      <c r="C103" s="30">
        <v>4</v>
      </c>
      <c r="D103" s="9" t="s">
        <v>967</v>
      </c>
      <c r="E103" s="105"/>
      <c r="F103" s="46" t="s">
        <v>12</v>
      </c>
      <c r="G103" s="9"/>
    </row>
    <row r="104" spans="1:7">
      <c r="A104" s="105"/>
      <c r="B104" s="105"/>
      <c r="C104" s="30">
        <v>3</v>
      </c>
      <c r="D104" s="9" t="s">
        <v>968</v>
      </c>
      <c r="E104" s="105"/>
      <c r="F104" s="46" t="s">
        <v>12</v>
      </c>
      <c r="G104" s="9"/>
    </row>
    <row r="105" spans="1:7">
      <c r="A105" s="105"/>
      <c r="B105" s="105"/>
      <c r="C105" s="30">
        <v>2</v>
      </c>
      <c r="D105" s="9" t="s">
        <v>969</v>
      </c>
      <c r="E105" s="105"/>
      <c r="F105" s="46" t="s">
        <v>12</v>
      </c>
      <c r="G105" s="9"/>
    </row>
    <row r="106" spans="1:7">
      <c r="A106" s="105"/>
      <c r="B106" s="105"/>
      <c r="C106" s="30">
        <v>1</v>
      </c>
      <c r="D106" s="9" t="s">
        <v>970</v>
      </c>
      <c r="E106" s="105"/>
      <c r="F106" s="46" t="s">
        <v>12</v>
      </c>
      <c r="G106" s="9"/>
    </row>
    <row r="107" spans="1:7">
      <c r="A107" s="106"/>
      <c r="B107" s="106"/>
      <c r="C107" s="30">
        <v>0</v>
      </c>
      <c r="D107" s="9" t="s">
        <v>971</v>
      </c>
      <c r="E107" s="106"/>
      <c r="F107" s="46" t="s">
        <v>146</v>
      </c>
      <c r="G107" s="9"/>
    </row>
    <row r="108" spans="1:7">
      <c r="A108" s="107">
        <v>142</v>
      </c>
      <c r="B108" s="107" t="str">
        <f>DEC2HEX(A108, 2)</f>
        <v>8E</v>
      </c>
      <c r="C108" s="30">
        <v>7</v>
      </c>
      <c r="D108" s="9" t="s">
        <v>972</v>
      </c>
      <c r="E108" s="111" t="s">
        <v>300</v>
      </c>
      <c r="F108" s="46" t="s">
        <v>12</v>
      </c>
      <c r="G108" s="9"/>
    </row>
    <row r="109" spans="1:7">
      <c r="A109" s="105"/>
      <c r="B109" s="105"/>
      <c r="C109" s="30">
        <v>6</v>
      </c>
      <c r="D109" s="9" t="s">
        <v>973</v>
      </c>
      <c r="E109" s="105"/>
      <c r="F109" s="46" t="s">
        <v>12</v>
      </c>
      <c r="G109" s="9"/>
    </row>
    <row r="110" spans="1:7">
      <c r="A110" s="105"/>
      <c r="B110" s="105"/>
      <c r="C110" s="30">
        <v>5</v>
      </c>
      <c r="D110" s="9" t="s">
        <v>974</v>
      </c>
      <c r="E110" s="105"/>
      <c r="F110" s="46" t="s">
        <v>12</v>
      </c>
      <c r="G110" s="9"/>
    </row>
    <row r="111" spans="1:7">
      <c r="A111" s="105"/>
      <c r="B111" s="105"/>
      <c r="C111" s="30">
        <v>4</v>
      </c>
      <c r="D111" s="9" t="s">
        <v>975</v>
      </c>
      <c r="E111" s="105"/>
      <c r="F111" s="46" t="s">
        <v>12</v>
      </c>
      <c r="G111" s="9"/>
    </row>
    <row r="112" spans="1:7">
      <c r="A112" s="105"/>
      <c r="B112" s="105"/>
      <c r="C112" s="30">
        <v>3</v>
      </c>
      <c r="D112" s="9" t="s">
        <v>976</v>
      </c>
      <c r="E112" s="105"/>
      <c r="F112" s="46" t="s">
        <v>12</v>
      </c>
      <c r="G112" s="9"/>
    </row>
    <row r="113" spans="1:7">
      <c r="A113" s="105"/>
      <c r="B113" s="105"/>
      <c r="C113" s="30">
        <v>2</v>
      </c>
      <c r="D113" s="9" t="s">
        <v>977</v>
      </c>
      <c r="E113" s="105"/>
      <c r="F113" s="46" t="s">
        <v>12</v>
      </c>
      <c r="G113" s="9"/>
    </row>
    <row r="114" spans="1:7">
      <c r="A114" s="105"/>
      <c r="B114" s="105"/>
      <c r="C114" s="30">
        <v>1</v>
      </c>
      <c r="D114" s="9" t="s">
        <v>978</v>
      </c>
      <c r="E114" s="105"/>
      <c r="F114" s="46" t="s">
        <v>12</v>
      </c>
      <c r="G114" s="9"/>
    </row>
    <row r="115" spans="1:7">
      <c r="A115" s="106"/>
      <c r="B115" s="106"/>
      <c r="C115" s="30">
        <v>0</v>
      </c>
      <c r="D115" s="9" t="s">
        <v>979</v>
      </c>
      <c r="E115" s="106"/>
      <c r="F115" s="46" t="s">
        <v>146</v>
      </c>
      <c r="G115" s="9"/>
    </row>
    <row r="116" spans="1:7">
      <c r="A116" s="7">
        <v>143</v>
      </c>
      <c r="B116" s="7" t="str">
        <f>DEC2HEX(A116, 2)</f>
        <v>8F</v>
      </c>
      <c r="C116" s="30" t="s">
        <v>18</v>
      </c>
      <c r="D116" s="9" t="s">
        <v>190</v>
      </c>
      <c r="E116" s="9" t="s">
        <v>9</v>
      </c>
      <c r="F116" s="46" t="s">
        <v>146</v>
      </c>
      <c r="G116" s="9"/>
    </row>
    <row r="117" spans="1:7">
      <c r="A117" s="107">
        <v>144</v>
      </c>
      <c r="B117" s="107" t="str">
        <f>DEC2HEX(A117, 2)</f>
        <v>90</v>
      </c>
      <c r="C117" s="30">
        <v>7</v>
      </c>
      <c r="D117" s="9" t="s">
        <v>980</v>
      </c>
      <c r="E117" s="111" t="s">
        <v>981</v>
      </c>
      <c r="F117" s="46" t="s">
        <v>12</v>
      </c>
      <c r="G117" s="9"/>
    </row>
    <row r="118" spans="1:7">
      <c r="A118" s="105"/>
      <c r="B118" s="105"/>
      <c r="C118" s="30">
        <v>6</v>
      </c>
      <c r="D118" s="9" t="s">
        <v>982</v>
      </c>
      <c r="E118" s="105"/>
      <c r="F118" s="46" t="s">
        <v>12</v>
      </c>
      <c r="G118" s="9"/>
    </row>
    <row r="119" spans="1:7">
      <c r="A119" s="105"/>
      <c r="B119" s="105"/>
      <c r="C119" s="30">
        <v>5</v>
      </c>
      <c r="D119" s="9" t="s">
        <v>983</v>
      </c>
      <c r="E119" s="105"/>
      <c r="F119" s="46" t="s">
        <v>12</v>
      </c>
      <c r="G119" s="9"/>
    </row>
    <row r="120" spans="1:7">
      <c r="A120" s="105"/>
      <c r="B120" s="105"/>
      <c r="C120" s="30">
        <v>4</v>
      </c>
      <c r="D120" s="9" t="s">
        <v>984</v>
      </c>
      <c r="E120" s="105"/>
      <c r="F120" s="46" t="s">
        <v>12</v>
      </c>
      <c r="G120" s="9"/>
    </row>
    <row r="121" spans="1:7">
      <c r="A121" s="105"/>
      <c r="B121" s="105"/>
      <c r="C121" s="30">
        <v>3</v>
      </c>
      <c r="D121" s="9" t="s">
        <v>985</v>
      </c>
      <c r="E121" s="105"/>
      <c r="F121" s="46" t="s">
        <v>12</v>
      </c>
      <c r="G121" s="9"/>
    </row>
    <row r="122" spans="1:7">
      <c r="A122" s="105"/>
      <c r="B122" s="105"/>
      <c r="C122" s="30">
        <v>2</v>
      </c>
      <c r="D122" s="9" t="s">
        <v>986</v>
      </c>
      <c r="E122" s="105"/>
      <c r="F122" s="46" t="s">
        <v>12</v>
      </c>
      <c r="G122" s="9"/>
    </row>
    <row r="123" spans="1:7">
      <c r="A123" s="105"/>
      <c r="B123" s="105"/>
      <c r="C123" s="30">
        <v>1</v>
      </c>
      <c r="D123" s="9" t="s">
        <v>987</v>
      </c>
      <c r="E123" s="105"/>
      <c r="F123" s="46" t="s">
        <v>12</v>
      </c>
      <c r="G123" s="9"/>
    </row>
    <row r="124" spans="1:7">
      <c r="A124" s="106"/>
      <c r="B124" s="106"/>
      <c r="C124" s="30">
        <v>0</v>
      </c>
      <c r="D124" s="9" t="s">
        <v>988</v>
      </c>
      <c r="E124" s="106"/>
      <c r="F124" s="46" t="s">
        <v>146</v>
      </c>
      <c r="G124" s="9"/>
    </row>
    <row r="125" spans="1:7">
      <c r="A125" s="107">
        <v>145</v>
      </c>
      <c r="B125" s="107" t="str">
        <f>DEC2HEX(A125, 2)</f>
        <v>91</v>
      </c>
      <c r="C125" s="30">
        <v>7</v>
      </c>
      <c r="D125" s="9" t="s">
        <v>989</v>
      </c>
      <c r="E125" s="111" t="s">
        <v>981</v>
      </c>
      <c r="F125" s="46" t="s">
        <v>12</v>
      </c>
      <c r="G125" s="9"/>
    </row>
    <row r="126" spans="1:7">
      <c r="A126" s="105"/>
      <c r="B126" s="105"/>
      <c r="C126" s="30">
        <v>6</v>
      </c>
      <c r="D126" s="9" t="s">
        <v>990</v>
      </c>
      <c r="E126" s="105"/>
      <c r="F126" s="46" t="s">
        <v>12</v>
      </c>
      <c r="G126" s="9"/>
    </row>
    <row r="127" spans="1:7">
      <c r="A127" s="105"/>
      <c r="B127" s="105"/>
      <c r="C127" s="30">
        <v>5</v>
      </c>
      <c r="D127" s="9" t="s">
        <v>991</v>
      </c>
      <c r="E127" s="105"/>
      <c r="F127" s="46" t="s">
        <v>12</v>
      </c>
      <c r="G127" s="9"/>
    </row>
    <row r="128" spans="1:7">
      <c r="A128" s="105"/>
      <c r="B128" s="105"/>
      <c r="C128" s="30">
        <v>4</v>
      </c>
      <c r="D128" s="9" t="s">
        <v>992</v>
      </c>
      <c r="E128" s="105"/>
      <c r="F128" s="46" t="s">
        <v>12</v>
      </c>
      <c r="G128" s="9"/>
    </row>
    <row r="129" spans="1:7">
      <c r="A129" s="105"/>
      <c r="B129" s="105"/>
      <c r="C129" s="30">
        <v>3</v>
      </c>
      <c r="D129" s="9" t="s">
        <v>993</v>
      </c>
      <c r="E129" s="105"/>
      <c r="F129" s="46" t="s">
        <v>12</v>
      </c>
      <c r="G129" s="9"/>
    </row>
    <row r="130" spans="1:7">
      <c r="A130" s="105"/>
      <c r="B130" s="105"/>
      <c r="C130" s="30">
        <v>2</v>
      </c>
      <c r="D130" s="9" t="s">
        <v>994</v>
      </c>
      <c r="E130" s="105"/>
      <c r="F130" s="46" t="s">
        <v>12</v>
      </c>
      <c r="G130" s="9"/>
    </row>
    <row r="131" spans="1:7">
      <c r="A131" s="105"/>
      <c r="B131" s="105"/>
      <c r="C131" s="30">
        <v>1</v>
      </c>
      <c r="D131" s="9" t="s">
        <v>995</v>
      </c>
      <c r="E131" s="105"/>
      <c r="F131" s="46" t="s">
        <v>12</v>
      </c>
      <c r="G131" s="9"/>
    </row>
    <row r="132" spans="1:7">
      <c r="A132" s="106"/>
      <c r="B132" s="106"/>
      <c r="C132" s="30">
        <v>0</v>
      </c>
      <c r="D132" s="9" t="s">
        <v>996</v>
      </c>
      <c r="E132" s="106"/>
      <c r="F132" s="46" t="s">
        <v>146</v>
      </c>
      <c r="G132" s="9"/>
    </row>
    <row r="133" spans="1:7">
      <c r="A133" s="107">
        <v>146</v>
      </c>
      <c r="B133" s="107" t="str">
        <f>DEC2HEX(A133, 2)</f>
        <v>92</v>
      </c>
      <c r="C133" s="30">
        <v>7</v>
      </c>
      <c r="D133" s="9" t="s">
        <v>997</v>
      </c>
      <c r="E133" s="111" t="s">
        <v>981</v>
      </c>
      <c r="F133" s="46" t="s">
        <v>12</v>
      </c>
      <c r="G133" s="9"/>
    </row>
    <row r="134" spans="1:7">
      <c r="A134" s="105"/>
      <c r="B134" s="105"/>
      <c r="C134" s="30">
        <v>6</v>
      </c>
      <c r="D134" s="9" t="s">
        <v>998</v>
      </c>
      <c r="E134" s="105"/>
      <c r="F134" s="46" t="s">
        <v>12</v>
      </c>
      <c r="G134" s="9"/>
    </row>
    <row r="135" spans="1:7">
      <c r="A135" s="105"/>
      <c r="B135" s="105"/>
      <c r="C135" s="30">
        <v>5</v>
      </c>
      <c r="D135" s="9" t="s">
        <v>999</v>
      </c>
      <c r="E135" s="105"/>
      <c r="F135" s="46" t="s">
        <v>12</v>
      </c>
      <c r="G135" s="9"/>
    </row>
    <row r="136" spans="1:7">
      <c r="A136" s="105"/>
      <c r="B136" s="105"/>
      <c r="C136" s="30">
        <v>4</v>
      </c>
      <c r="D136" s="9" t="s">
        <v>1000</v>
      </c>
      <c r="E136" s="105"/>
      <c r="F136" s="46" t="s">
        <v>12</v>
      </c>
      <c r="G136" s="9"/>
    </row>
    <row r="137" spans="1:7">
      <c r="A137" s="105"/>
      <c r="B137" s="105"/>
      <c r="C137" s="30">
        <v>3</v>
      </c>
      <c r="D137" s="9" t="s">
        <v>1001</v>
      </c>
      <c r="E137" s="105"/>
      <c r="F137" s="46" t="s">
        <v>12</v>
      </c>
      <c r="G137" s="9"/>
    </row>
    <row r="138" spans="1:7">
      <c r="A138" s="105"/>
      <c r="B138" s="105"/>
      <c r="C138" s="30">
        <v>2</v>
      </c>
      <c r="D138" s="9" t="s">
        <v>1002</v>
      </c>
      <c r="E138" s="105"/>
      <c r="F138" s="46" t="s">
        <v>12</v>
      </c>
      <c r="G138" s="9"/>
    </row>
    <row r="139" spans="1:7">
      <c r="A139" s="105"/>
      <c r="B139" s="105"/>
      <c r="C139" s="30">
        <v>1</v>
      </c>
      <c r="D139" s="9" t="s">
        <v>1003</v>
      </c>
      <c r="E139" s="105"/>
      <c r="F139" s="46" t="s">
        <v>12</v>
      </c>
      <c r="G139" s="9"/>
    </row>
    <row r="140" spans="1:7">
      <c r="A140" s="106"/>
      <c r="B140" s="106"/>
      <c r="C140" s="30">
        <v>0</v>
      </c>
      <c r="D140" s="9" t="s">
        <v>1004</v>
      </c>
      <c r="E140" s="106"/>
      <c r="F140" s="46" t="s">
        <v>146</v>
      </c>
      <c r="G140" s="9"/>
    </row>
    <row r="141" spans="1:7">
      <c r="A141" s="107">
        <v>147</v>
      </c>
      <c r="B141" s="107" t="str">
        <f>DEC2HEX(A141, 2)</f>
        <v>93</v>
      </c>
      <c r="C141" s="30">
        <v>7</v>
      </c>
      <c r="D141" s="9" t="s">
        <v>1005</v>
      </c>
      <c r="E141" s="111" t="s">
        <v>981</v>
      </c>
      <c r="F141" s="46" t="s">
        <v>12</v>
      </c>
      <c r="G141" s="9"/>
    </row>
    <row r="142" spans="1:7">
      <c r="A142" s="105"/>
      <c r="B142" s="105"/>
      <c r="C142" s="30">
        <v>6</v>
      </c>
      <c r="D142" s="9" t="s">
        <v>1006</v>
      </c>
      <c r="E142" s="105"/>
      <c r="F142" s="46" t="s">
        <v>12</v>
      </c>
      <c r="G142" s="9"/>
    </row>
    <row r="143" spans="1:7">
      <c r="A143" s="105"/>
      <c r="B143" s="105"/>
      <c r="C143" s="30">
        <v>5</v>
      </c>
      <c r="D143" s="9" t="s">
        <v>1007</v>
      </c>
      <c r="E143" s="105"/>
      <c r="F143" s="46" t="s">
        <v>12</v>
      </c>
      <c r="G143" s="9"/>
    </row>
    <row r="144" spans="1:7">
      <c r="A144" s="105"/>
      <c r="B144" s="105"/>
      <c r="C144" s="30">
        <v>4</v>
      </c>
      <c r="D144" s="9" t="s">
        <v>1008</v>
      </c>
      <c r="E144" s="105"/>
      <c r="F144" s="46" t="s">
        <v>12</v>
      </c>
      <c r="G144" s="9"/>
    </row>
    <row r="145" spans="1:7">
      <c r="A145" s="105"/>
      <c r="B145" s="105"/>
      <c r="C145" s="30">
        <v>3</v>
      </c>
      <c r="D145" s="9" t="s">
        <v>1009</v>
      </c>
      <c r="E145" s="105"/>
      <c r="F145" s="46" t="s">
        <v>12</v>
      </c>
      <c r="G145" s="9"/>
    </row>
    <row r="146" spans="1:7">
      <c r="A146" s="105"/>
      <c r="B146" s="105"/>
      <c r="C146" s="30">
        <v>2</v>
      </c>
      <c r="D146" s="9" t="s">
        <v>1010</v>
      </c>
      <c r="E146" s="105"/>
      <c r="F146" s="46" t="s">
        <v>12</v>
      </c>
      <c r="G146" s="9"/>
    </row>
    <row r="147" spans="1:7">
      <c r="A147" s="105"/>
      <c r="B147" s="105"/>
      <c r="C147" s="30">
        <v>1</v>
      </c>
      <c r="D147" s="9" t="s">
        <v>1011</v>
      </c>
      <c r="E147" s="105"/>
      <c r="F147" s="46" t="s">
        <v>12</v>
      </c>
      <c r="G147" s="9"/>
    </row>
    <row r="148" spans="1:7">
      <c r="A148" s="106"/>
      <c r="B148" s="106"/>
      <c r="C148" s="30">
        <v>0</v>
      </c>
      <c r="D148" s="9" t="s">
        <v>1012</v>
      </c>
      <c r="E148" s="106"/>
      <c r="F148" s="46" t="s">
        <v>146</v>
      </c>
      <c r="G148" s="9"/>
    </row>
    <row r="149" spans="1:7">
      <c r="A149" s="107">
        <v>148</v>
      </c>
      <c r="B149" s="107" t="str">
        <f>DEC2HEX(A149, 2)</f>
        <v>94</v>
      </c>
      <c r="C149" s="40" t="s">
        <v>129</v>
      </c>
      <c r="D149" s="9" t="s">
        <v>1013</v>
      </c>
      <c r="E149" s="111" t="s">
        <v>981</v>
      </c>
      <c r="F149" s="46" t="s">
        <v>127</v>
      </c>
      <c r="G149" s="9"/>
    </row>
    <row r="150" spans="1:7">
      <c r="A150" s="106"/>
      <c r="B150" s="106"/>
      <c r="C150" s="30" t="s">
        <v>227</v>
      </c>
      <c r="D150" s="9" t="s">
        <v>1014</v>
      </c>
      <c r="E150" s="105"/>
      <c r="F150" s="46" t="s">
        <v>127</v>
      </c>
      <c r="G150" s="9"/>
    </row>
    <row r="151" spans="1:7">
      <c r="A151" s="107">
        <v>149</v>
      </c>
      <c r="B151" s="107" t="str">
        <f>DEC2HEX(A151, 2)</f>
        <v>95</v>
      </c>
      <c r="C151" s="40" t="s">
        <v>129</v>
      </c>
      <c r="D151" s="9" t="s">
        <v>1015</v>
      </c>
      <c r="E151" s="105"/>
      <c r="F151" s="46" t="s">
        <v>127</v>
      </c>
      <c r="G151" s="9"/>
    </row>
    <row r="152" spans="1:7">
      <c r="A152" s="106"/>
      <c r="B152" s="106"/>
      <c r="C152" s="30" t="s">
        <v>227</v>
      </c>
      <c r="D152" s="9" t="s">
        <v>1016</v>
      </c>
      <c r="E152" s="105"/>
      <c r="F152" s="46" t="s">
        <v>127</v>
      </c>
      <c r="G152" s="9"/>
    </row>
    <row r="153" spans="1:7">
      <c r="A153" s="107">
        <v>150</v>
      </c>
      <c r="B153" s="107" t="str">
        <f>DEC2HEX(A153, 2)</f>
        <v>96</v>
      </c>
      <c r="C153" s="40" t="s">
        <v>129</v>
      </c>
      <c r="D153" s="9" t="s">
        <v>1017</v>
      </c>
      <c r="E153" s="105"/>
      <c r="F153" s="46" t="s">
        <v>127</v>
      </c>
      <c r="G153" s="9"/>
    </row>
    <row r="154" spans="1:7">
      <c r="A154" s="106"/>
      <c r="B154" s="106"/>
      <c r="C154" s="30" t="s">
        <v>227</v>
      </c>
      <c r="D154" s="9" t="s">
        <v>1018</v>
      </c>
      <c r="E154" s="105"/>
      <c r="F154" s="46" t="s">
        <v>127</v>
      </c>
      <c r="G154" s="9"/>
    </row>
    <row r="155" spans="1:7">
      <c r="A155" s="107">
        <v>151</v>
      </c>
      <c r="B155" s="107" t="str">
        <f>DEC2HEX(A155, 2)</f>
        <v>97</v>
      </c>
      <c r="C155" s="40" t="s">
        <v>129</v>
      </c>
      <c r="D155" s="9" t="s">
        <v>1019</v>
      </c>
      <c r="E155" s="105"/>
      <c r="F155" s="46" t="s">
        <v>127</v>
      </c>
      <c r="G155" s="9"/>
    </row>
    <row r="156" spans="1:7">
      <c r="A156" s="106"/>
      <c r="B156" s="106"/>
      <c r="C156" s="30" t="s">
        <v>227</v>
      </c>
      <c r="D156" s="9" t="s">
        <v>1020</v>
      </c>
      <c r="E156" s="106"/>
      <c r="F156" s="46" t="s">
        <v>127</v>
      </c>
      <c r="G156" s="9"/>
    </row>
    <row r="157" spans="1:7">
      <c r="A157" s="107">
        <v>152</v>
      </c>
      <c r="B157" s="107" t="str">
        <f>DEC2HEX(A157, 2)</f>
        <v>98</v>
      </c>
      <c r="C157" s="30">
        <v>7</v>
      </c>
      <c r="D157" s="9" t="s">
        <v>1021</v>
      </c>
      <c r="E157" s="111" t="s">
        <v>981</v>
      </c>
      <c r="F157" s="46" t="s">
        <v>12</v>
      </c>
      <c r="G157" s="9"/>
    </row>
    <row r="158" spans="1:7">
      <c r="A158" s="105"/>
      <c r="B158" s="105"/>
      <c r="C158" s="30">
        <v>6</v>
      </c>
      <c r="D158" s="9" t="s">
        <v>1022</v>
      </c>
      <c r="E158" s="105"/>
      <c r="F158" s="46" t="s">
        <v>12</v>
      </c>
      <c r="G158" s="9"/>
    </row>
    <row r="159" spans="1:7">
      <c r="A159" s="105"/>
      <c r="B159" s="105"/>
      <c r="C159" s="30">
        <v>5</v>
      </c>
      <c r="D159" s="9" t="s">
        <v>1023</v>
      </c>
      <c r="E159" s="105"/>
      <c r="F159" s="46" t="s">
        <v>12</v>
      </c>
      <c r="G159" s="9"/>
    </row>
    <row r="160" spans="1:7">
      <c r="A160" s="105"/>
      <c r="B160" s="105"/>
      <c r="C160" s="30">
        <v>4</v>
      </c>
      <c r="D160" s="9" t="s">
        <v>1024</v>
      </c>
      <c r="E160" s="105"/>
      <c r="F160" s="46" t="s">
        <v>12</v>
      </c>
      <c r="G160" s="9"/>
    </row>
    <row r="161" spans="1:7">
      <c r="A161" s="105"/>
      <c r="B161" s="105"/>
      <c r="C161" s="30">
        <v>3</v>
      </c>
      <c r="D161" s="9" t="s">
        <v>1025</v>
      </c>
      <c r="E161" s="105"/>
      <c r="F161" s="46" t="s">
        <v>12</v>
      </c>
      <c r="G161" s="9"/>
    </row>
    <row r="162" spans="1:7">
      <c r="A162" s="105"/>
      <c r="B162" s="105"/>
      <c r="C162" s="30">
        <v>2</v>
      </c>
      <c r="D162" s="9" t="s">
        <v>1026</v>
      </c>
      <c r="E162" s="105"/>
      <c r="F162" s="46" t="s">
        <v>12</v>
      </c>
      <c r="G162" s="9"/>
    </row>
    <row r="163" spans="1:7">
      <c r="A163" s="105"/>
      <c r="B163" s="105"/>
      <c r="C163" s="30">
        <v>1</v>
      </c>
      <c r="D163" s="9" t="s">
        <v>1027</v>
      </c>
      <c r="E163" s="105"/>
      <c r="F163" s="46" t="s">
        <v>12</v>
      </c>
      <c r="G163" s="9"/>
    </row>
    <row r="164" spans="1:7">
      <c r="A164" s="106"/>
      <c r="B164" s="106"/>
      <c r="C164" s="30">
        <v>0</v>
      </c>
      <c r="D164" s="9" t="s">
        <v>1028</v>
      </c>
      <c r="E164" s="106"/>
      <c r="F164" s="46" t="s">
        <v>146</v>
      </c>
      <c r="G164" s="9"/>
    </row>
    <row r="165" spans="1:7">
      <c r="A165" s="107">
        <v>153</v>
      </c>
      <c r="B165" s="107" t="str">
        <f>DEC2HEX(A165, 2)</f>
        <v>99</v>
      </c>
      <c r="C165" s="30">
        <v>7</v>
      </c>
      <c r="D165" s="9" t="s">
        <v>1029</v>
      </c>
      <c r="E165" s="111" t="s">
        <v>981</v>
      </c>
      <c r="F165" s="46" t="s">
        <v>12</v>
      </c>
      <c r="G165" s="9"/>
    </row>
    <row r="166" spans="1:7">
      <c r="A166" s="105"/>
      <c r="B166" s="105"/>
      <c r="C166" s="30">
        <v>6</v>
      </c>
      <c r="D166" s="9" t="s">
        <v>1030</v>
      </c>
      <c r="E166" s="105"/>
      <c r="F166" s="46" t="s">
        <v>12</v>
      </c>
      <c r="G166" s="9"/>
    </row>
    <row r="167" spans="1:7">
      <c r="A167" s="105"/>
      <c r="B167" s="105"/>
      <c r="C167" s="30">
        <v>5</v>
      </c>
      <c r="D167" s="9" t="s">
        <v>1031</v>
      </c>
      <c r="E167" s="105"/>
      <c r="F167" s="46" t="s">
        <v>12</v>
      </c>
      <c r="G167" s="9"/>
    </row>
    <row r="168" spans="1:7">
      <c r="A168" s="105"/>
      <c r="B168" s="105"/>
      <c r="C168" s="30">
        <v>4</v>
      </c>
      <c r="D168" s="9" t="s">
        <v>1032</v>
      </c>
      <c r="E168" s="105"/>
      <c r="F168" s="46" t="s">
        <v>12</v>
      </c>
      <c r="G168" s="9"/>
    </row>
    <row r="169" spans="1:7">
      <c r="A169" s="105"/>
      <c r="B169" s="105"/>
      <c r="C169" s="30">
        <v>3</v>
      </c>
      <c r="D169" s="9" t="s">
        <v>1033</v>
      </c>
      <c r="E169" s="105"/>
      <c r="F169" s="46" t="s">
        <v>12</v>
      </c>
      <c r="G169" s="9"/>
    </row>
    <row r="170" spans="1:7">
      <c r="A170" s="105"/>
      <c r="B170" s="105"/>
      <c r="C170" s="30">
        <v>2</v>
      </c>
      <c r="D170" s="9" t="s">
        <v>1034</v>
      </c>
      <c r="E170" s="105"/>
      <c r="F170" s="46" t="s">
        <v>12</v>
      </c>
      <c r="G170" s="9"/>
    </row>
    <row r="171" spans="1:7">
      <c r="A171" s="105"/>
      <c r="B171" s="105"/>
      <c r="C171" s="30">
        <v>1</v>
      </c>
      <c r="D171" s="9" t="s">
        <v>1035</v>
      </c>
      <c r="E171" s="105"/>
      <c r="F171" s="46" t="s">
        <v>12</v>
      </c>
      <c r="G171" s="9"/>
    </row>
    <row r="172" spans="1:7">
      <c r="A172" s="106"/>
      <c r="B172" s="106"/>
      <c r="C172" s="30">
        <v>0</v>
      </c>
      <c r="D172" s="9" t="s">
        <v>1036</v>
      </c>
      <c r="E172" s="106"/>
      <c r="F172" s="46" t="s">
        <v>146</v>
      </c>
      <c r="G172" s="9"/>
    </row>
    <row r="173" spans="1:7">
      <c r="A173" s="107">
        <v>154</v>
      </c>
      <c r="B173" s="107" t="str">
        <f>DEC2HEX(A173, 2)</f>
        <v>9A</v>
      </c>
      <c r="C173" s="30">
        <v>7</v>
      </c>
      <c r="D173" s="9" t="s">
        <v>1037</v>
      </c>
      <c r="E173" s="111" t="s">
        <v>981</v>
      </c>
      <c r="F173" s="46" t="s">
        <v>12</v>
      </c>
      <c r="G173" s="9"/>
    </row>
    <row r="174" spans="1:7">
      <c r="A174" s="105"/>
      <c r="B174" s="105"/>
      <c r="C174" s="30">
        <v>6</v>
      </c>
      <c r="D174" s="9" t="s">
        <v>1038</v>
      </c>
      <c r="E174" s="105"/>
      <c r="F174" s="46" t="s">
        <v>12</v>
      </c>
      <c r="G174" s="9"/>
    </row>
    <row r="175" spans="1:7">
      <c r="A175" s="105"/>
      <c r="B175" s="105"/>
      <c r="C175" s="30">
        <v>5</v>
      </c>
      <c r="D175" s="9" t="s">
        <v>1039</v>
      </c>
      <c r="E175" s="105"/>
      <c r="F175" s="46" t="s">
        <v>12</v>
      </c>
      <c r="G175" s="9"/>
    </row>
    <row r="176" spans="1:7">
      <c r="A176" s="105"/>
      <c r="B176" s="105"/>
      <c r="C176" s="30">
        <v>4</v>
      </c>
      <c r="D176" s="9" t="s">
        <v>1040</v>
      </c>
      <c r="E176" s="105"/>
      <c r="F176" s="46" t="s">
        <v>12</v>
      </c>
      <c r="G176" s="9"/>
    </row>
    <row r="177" spans="1:7">
      <c r="A177" s="105"/>
      <c r="B177" s="105"/>
      <c r="C177" s="30">
        <v>3</v>
      </c>
      <c r="D177" s="9" t="s">
        <v>1041</v>
      </c>
      <c r="E177" s="105"/>
      <c r="F177" s="46" t="s">
        <v>12</v>
      </c>
      <c r="G177" s="9"/>
    </row>
    <row r="178" spans="1:7">
      <c r="A178" s="105"/>
      <c r="B178" s="105"/>
      <c r="C178" s="30">
        <v>2</v>
      </c>
      <c r="D178" s="9" t="s">
        <v>1042</v>
      </c>
      <c r="E178" s="105"/>
      <c r="F178" s="46" t="s">
        <v>12</v>
      </c>
      <c r="G178" s="9"/>
    </row>
    <row r="179" spans="1:7">
      <c r="A179" s="105"/>
      <c r="B179" s="105"/>
      <c r="C179" s="30">
        <v>1</v>
      </c>
      <c r="D179" s="9" t="s">
        <v>1043</v>
      </c>
      <c r="E179" s="105"/>
      <c r="F179" s="46" t="s">
        <v>12</v>
      </c>
      <c r="G179" s="9"/>
    </row>
    <row r="180" spans="1:7">
      <c r="A180" s="106"/>
      <c r="B180" s="106"/>
      <c r="C180" s="30">
        <v>0</v>
      </c>
      <c r="D180" s="9" t="s">
        <v>1044</v>
      </c>
      <c r="E180" s="106"/>
      <c r="F180" s="46" t="s">
        <v>146</v>
      </c>
      <c r="G180" s="9"/>
    </row>
    <row r="181" spans="1:7">
      <c r="A181" s="107">
        <v>155</v>
      </c>
      <c r="B181" s="107" t="str">
        <f>DEC2HEX(A181, 2)</f>
        <v>9B</v>
      </c>
      <c r="C181" s="30">
        <v>7</v>
      </c>
      <c r="D181" s="9" t="s">
        <v>1045</v>
      </c>
      <c r="E181" s="111" t="s">
        <v>981</v>
      </c>
      <c r="F181" s="46" t="s">
        <v>12</v>
      </c>
      <c r="G181" s="9"/>
    </row>
    <row r="182" spans="1:7">
      <c r="A182" s="105"/>
      <c r="B182" s="105"/>
      <c r="C182" s="30">
        <v>6</v>
      </c>
      <c r="D182" s="9" t="s">
        <v>1046</v>
      </c>
      <c r="E182" s="105"/>
      <c r="F182" s="46" t="s">
        <v>12</v>
      </c>
      <c r="G182" s="9"/>
    </row>
    <row r="183" spans="1:7">
      <c r="A183" s="105"/>
      <c r="B183" s="105"/>
      <c r="C183" s="30">
        <v>5</v>
      </c>
      <c r="D183" s="9" t="s">
        <v>1047</v>
      </c>
      <c r="E183" s="105"/>
      <c r="F183" s="46" t="s">
        <v>12</v>
      </c>
      <c r="G183" s="9"/>
    </row>
    <row r="184" spans="1:7">
      <c r="A184" s="105"/>
      <c r="B184" s="105"/>
      <c r="C184" s="30">
        <v>4</v>
      </c>
      <c r="D184" s="9" t="s">
        <v>1048</v>
      </c>
      <c r="E184" s="105"/>
      <c r="F184" s="46" t="s">
        <v>12</v>
      </c>
      <c r="G184" s="9"/>
    </row>
    <row r="185" spans="1:7">
      <c r="A185" s="105"/>
      <c r="B185" s="105"/>
      <c r="C185" s="30">
        <v>3</v>
      </c>
      <c r="D185" s="9" t="s">
        <v>1049</v>
      </c>
      <c r="E185" s="105"/>
      <c r="F185" s="46" t="s">
        <v>12</v>
      </c>
      <c r="G185" s="9"/>
    </row>
    <row r="186" spans="1:7">
      <c r="A186" s="105"/>
      <c r="B186" s="105"/>
      <c r="C186" s="30">
        <v>2</v>
      </c>
      <c r="D186" s="9" t="s">
        <v>1050</v>
      </c>
      <c r="E186" s="105"/>
      <c r="F186" s="46" t="s">
        <v>12</v>
      </c>
      <c r="G186" s="9"/>
    </row>
    <row r="187" spans="1:7">
      <c r="A187" s="105"/>
      <c r="B187" s="105"/>
      <c r="C187" s="30">
        <v>1</v>
      </c>
      <c r="D187" s="9" t="s">
        <v>1051</v>
      </c>
      <c r="E187" s="105"/>
      <c r="F187" s="46" t="s">
        <v>12</v>
      </c>
      <c r="G187" s="9"/>
    </row>
    <row r="188" spans="1:7">
      <c r="A188" s="106"/>
      <c r="B188" s="106"/>
      <c r="C188" s="30">
        <v>0</v>
      </c>
      <c r="D188" s="9" t="s">
        <v>1052</v>
      </c>
      <c r="E188" s="106"/>
      <c r="F188" s="46" t="s">
        <v>146</v>
      </c>
      <c r="G188" s="9"/>
    </row>
    <row r="189" spans="1:7">
      <c r="A189" s="107">
        <v>156</v>
      </c>
      <c r="B189" s="107" t="str">
        <f>DEC2HEX(A189, 2)</f>
        <v>9C</v>
      </c>
      <c r="C189" s="40" t="s">
        <v>129</v>
      </c>
      <c r="D189" s="9" t="s">
        <v>1053</v>
      </c>
      <c r="E189" s="111" t="s">
        <v>981</v>
      </c>
      <c r="F189" s="46" t="s">
        <v>30</v>
      </c>
      <c r="G189" s="9"/>
    </row>
    <row r="190" spans="1:7">
      <c r="A190" s="106"/>
      <c r="B190" s="106"/>
      <c r="C190" s="30" t="s">
        <v>227</v>
      </c>
      <c r="D190" s="9" t="s">
        <v>1054</v>
      </c>
      <c r="E190" s="105"/>
      <c r="F190" s="46" t="s">
        <v>127</v>
      </c>
      <c r="G190" s="9"/>
    </row>
    <row r="191" spans="1:7">
      <c r="A191" s="107">
        <v>157</v>
      </c>
      <c r="B191" s="107" t="str">
        <f>DEC2HEX(A191, 2)</f>
        <v>9D</v>
      </c>
      <c r="C191" s="40" t="s">
        <v>129</v>
      </c>
      <c r="D191" s="9" t="s">
        <v>1055</v>
      </c>
      <c r="E191" s="105"/>
      <c r="F191" s="46" t="s">
        <v>30</v>
      </c>
      <c r="G191" s="9"/>
    </row>
    <row r="192" spans="1:7">
      <c r="A192" s="106"/>
      <c r="B192" s="106"/>
      <c r="C192" s="30" t="s">
        <v>227</v>
      </c>
      <c r="D192" s="9" t="s">
        <v>1056</v>
      </c>
      <c r="E192" s="105"/>
      <c r="F192" s="46" t="s">
        <v>30</v>
      </c>
      <c r="G192" s="9"/>
    </row>
    <row r="193" spans="1:7">
      <c r="A193" s="107">
        <v>158</v>
      </c>
      <c r="B193" s="107" t="str">
        <f>DEC2HEX(A193, 2)</f>
        <v>9E</v>
      </c>
      <c r="C193" s="40" t="s">
        <v>129</v>
      </c>
      <c r="D193" s="9" t="s">
        <v>1057</v>
      </c>
      <c r="E193" s="105"/>
      <c r="F193" s="46" t="s">
        <v>30</v>
      </c>
      <c r="G193" s="9"/>
    </row>
    <row r="194" spans="1:7">
      <c r="A194" s="106"/>
      <c r="B194" s="106"/>
      <c r="C194" s="30" t="s">
        <v>227</v>
      </c>
      <c r="D194" s="9" t="s">
        <v>1058</v>
      </c>
      <c r="E194" s="105"/>
      <c r="F194" s="46" t="s">
        <v>30</v>
      </c>
      <c r="G194" s="9"/>
    </row>
    <row r="195" spans="1:7">
      <c r="A195" s="107">
        <v>159</v>
      </c>
      <c r="B195" s="107" t="str">
        <f>DEC2HEX(A195, 2)</f>
        <v>9F</v>
      </c>
      <c r="C195" s="40" t="s">
        <v>129</v>
      </c>
      <c r="D195" s="9" t="s">
        <v>1059</v>
      </c>
      <c r="E195" s="105"/>
      <c r="F195" s="46" t="s">
        <v>30</v>
      </c>
      <c r="G195" s="9"/>
    </row>
    <row r="196" spans="1:7">
      <c r="A196" s="106"/>
      <c r="B196" s="106"/>
      <c r="C196" s="30" t="s">
        <v>227</v>
      </c>
      <c r="D196" s="9" t="s">
        <v>1060</v>
      </c>
      <c r="E196" s="106"/>
      <c r="F196" s="46" t="s">
        <v>30</v>
      </c>
      <c r="G196" s="9"/>
    </row>
    <row r="197" spans="1:7">
      <c r="A197" s="107">
        <v>160</v>
      </c>
      <c r="B197" s="107" t="str">
        <f>DEC2HEX(A197, 2)</f>
        <v>A0</v>
      </c>
      <c r="C197" s="30">
        <v>7</v>
      </c>
      <c r="D197" s="9" t="s">
        <v>1061</v>
      </c>
      <c r="E197" s="111" t="s">
        <v>981</v>
      </c>
      <c r="F197" s="46" t="s">
        <v>12</v>
      </c>
      <c r="G197" s="9"/>
    </row>
    <row r="198" spans="1:7">
      <c r="A198" s="105"/>
      <c r="B198" s="105"/>
      <c r="C198" s="30">
        <v>6</v>
      </c>
      <c r="D198" s="9" t="s">
        <v>1062</v>
      </c>
      <c r="E198" s="105"/>
      <c r="F198" s="46" t="s">
        <v>12</v>
      </c>
      <c r="G198" s="9"/>
    </row>
    <row r="199" spans="1:7">
      <c r="A199" s="105"/>
      <c r="B199" s="105"/>
      <c r="C199" s="30">
        <v>5</v>
      </c>
      <c r="D199" s="9" t="s">
        <v>1063</v>
      </c>
      <c r="E199" s="105"/>
      <c r="F199" s="46" t="s">
        <v>12</v>
      </c>
      <c r="G199" s="9"/>
    </row>
    <row r="200" spans="1:7">
      <c r="A200" s="105"/>
      <c r="B200" s="105"/>
      <c r="C200" s="30">
        <v>4</v>
      </c>
      <c r="D200" s="9" t="s">
        <v>1064</v>
      </c>
      <c r="E200" s="105"/>
      <c r="F200" s="46" t="s">
        <v>12</v>
      </c>
      <c r="G200" s="9"/>
    </row>
    <row r="201" spans="1:7">
      <c r="A201" s="105"/>
      <c r="B201" s="105"/>
      <c r="C201" s="30">
        <v>3</v>
      </c>
      <c r="D201" s="9" t="s">
        <v>1065</v>
      </c>
      <c r="E201" s="105"/>
      <c r="F201" s="46" t="s">
        <v>12</v>
      </c>
      <c r="G201" s="9"/>
    </row>
    <row r="202" spans="1:7">
      <c r="A202" s="105"/>
      <c r="B202" s="105"/>
      <c r="C202" s="30">
        <v>2</v>
      </c>
      <c r="D202" s="9" t="s">
        <v>1066</v>
      </c>
      <c r="E202" s="105"/>
      <c r="F202" s="46" t="s">
        <v>12</v>
      </c>
      <c r="G202" s="9"/>
    </row>
    <row r="203" spans="1:7">
      <c r="A203" s="105"/>
      <c r="B203" s="105"/>
      <c r="C203" s="30">
        <v>1</v>
      </c>
      <c r="D203" s="9" t="s">
        <v>1067</v>
      </c>
      <c r="E203" s="105"/>
      <c r="F203" s="46" t="s">
        <v>12</v>
      </c>
      <c r="G203" s="9"/>
    </row>
    <row r="204" spans="1:7">
      <c r="A204" s="106"/>
      <c r="B204" s="106"/>
      <c r="C204" s="30">
        <v>0</v>
      </c>
      <c r="D204" s="9" t="s">
        <v>1068</v>
      </c>
      <c r="E204" s="106"/>
      <c r="F204" s="46" t="s">
        <v>146</v>
      </c>
      <c r="G204" s="9"/>
    </row>
    <row r="205" spans="1:7">
      <c r="A205" s="107">
        <v>161</v>
      </c>
      <c r="B205" s="107" t="str">
        <f>DEC2HEX(A205, 2)</f>
        <v>A1</v>
      </c>
      <c r="C205" s="30">
        <v>7</v>
      </c>
      <c r="D205" s="9" t="s">
        <v>1069</v>
      </c>
      <c r="E205" s="111" t="s">
        <v>981</v>
      </c>
      <c r="F205" s="46" t="s">
        <v>12</v>
      </c>
      <c r="G205" s="9"/>
    </row>
    <row r="206" spans="1:7">
      <c r="A206" s="105"/>
      <c r="B206" s="105"/>
      <c r="C206" s="30">
        <v>6</v>
      </c>
      <c r="D206" s="9" t="s">
        <v>1070</v>
      </c>
      <c r="E206" s="105"/>
      <c r="F206" s="46" t="s">
        <v>12</v>
      </c>
      <c r="G206" s="9"/>
    </row>
    <row r="207" spans="1:7">
      <c r="A207" s="105"/>
      <c r="B207" s="105"/>
      <c r="C207" s="30">
        <v>5</v>
      </c>
      <c r="D207" s="9" t="s">
        <v>1071</v>
      </c>
      <c r="E207" s="105"/>
      <c r="F207" s="46" t="s">
        <v>12</v>
      </c>
      <c r="G207" s="9"/>
    </row>
    <row r="208" spans="1:7">
      <c r="A208" s="105"/>
      <c r="B208" s="105"/>
      <c r="C208" s="30">
        <v>4</v>
      </c>
      <c r="D208" s="9" t="s">
        <v>1072</v>
      </c>
      <c r="E208" s="105"/>
      <c r="F208" s="46" t="s">
        <v>12</v>
      </c>
      <c r="G208" s="9"/>
    </row>
    <row r="209" spans="1:7">
      <c r="A209" s="105"/>
      <c r="B209" s="105"/>
      <c r="C209" s="30">
        <v>3</v>
      </c>
      <c r="D209" s="9" t="s">
        <v>1073</v>
      </c>
      <c r="E209" s="105"/>
      <c r="F209" s="46" t="s">
        <v>12</v>
      </c>
      <c r="G209" s="9"/>
    </row>
    <row r="210" spans="1:7">
      <c r="A210" s="105"/>
      <c r="B210" s="105"/>
      <c r="C210" s="30">
        <v>2</v>
      </c>
      <c r="D210" s="9" t="s">
        <v>1074</v>
      </c>
      <c r="E210" s="105"/>
      <c r="F210" s="46" t="s">
        <v>12</v>
      </c>
      <c r="G210" s="9"/>
    </row>
    <row r="211" spans="1:7">
      <c r="A211" s="105"/>
      <c r="B211" s="105"/>
      <c r="C211" s="30">
        <v>1</v>
      </c>
      <c r="D211" s="9" t="s">
        <v>1075</v>
      </c>
      <c r="E211" s="105"/>
      <c r="F211" s="46" t="s">
        <v>12</v>
      </c>
      <c r="G211" s="9"/>
    </row>
    <row r="212" spans="1:7">
      <c r="A212" s="106"/>
      <c r="B212" s="106"/>
      <c r="C212" s="30">
        <v>0</v>
      </c>
      <c r="D212" s="9" t="s">
        <v>1076</v>
      </c>
      <c r="E212" s="106"/>
      <c r="F212" s="46" t="s">
        <v>146</v>
      </c>
      <c r="G212" s="9"/>
    </row>
    <row r="213" spans="1:7">
      <c r="A213" s="107">
        <v>162</v>
      </c>
      <c r="B213" s="107" t="str">
        <f>DEC2HEX(A213, 2)</f>
        <v>A2</v>
      </c>
      <c r="C213" s="30">
        <v>7</v>
      </c>
      <c r="D213" s="9" t="s">
        <v>1077</v>
      </c>
      <c r="E213" s="111" t="s">
        <v>981</v>
      </c>
      <c r="F213" s="46" t="s">
        <v>12</v>
      </c>
      <c r="G213" s="9"/>
    </row>
    <row r="214" spans="1:7">
      <c r="A214" s="105"/>
      <c r="B214" s="105"/>
      <c r="C214" s="30">
        <v>6</v>
      </c>
      <c r="D214" s="9" t="s">
        <v>1078</v>
      </c>
      <c r="E214" s="105"/>
      <c r="F214" s="46" t="s">
        <v>12</v>
      </c>
      <c r="G214" s="9"/>
    </row>
    <row r="215" spans="1:7">
      <c r="A215" s="105"/>
      <c r="B215" s="105"/>
      <c r="C215" s="30">
        <v>5</v>
      </c>
      <c r="D215" s="9" t="s">
        <v>1079</v>
      </c>
      <c r="E215" s="105"/>
      <c r="F215" s="46" t="s">
        <v>12</v>
      </c>
      <c r="G215" s="9"/>
    </row>
    <row r="216" spans="1:7">
      <c r="A216" s="105"/>
      <c r="B216" s="105"/>
      <c r="C216" s="30">
        <v>4</v>
      </c>
      <c r="D216" s="9" t="s">
        <v>1080</v>
      </c>
      <c r="E216" s="105"/>
      <c r="F216" s="46" t="s">
        <v>12</v>
      </c>
      <c r="G216" s="9"/>
    </row>
    <row r="217" spans="1:7">
      <c r="A217" s="105"/>
      <c r="B217" s="105"/>
      <c r="C217" s="30">
        <v>3</v>
      </c>
      <c r="D217" s="9" t="s">
        <v>1081</v>
      </c>
      <c r="E217" s="105"/>
      <c r="F217" s="46" t="s">
        <v>12</v>
      </c>
      <c r="G217" s="9"/>
    </row>
    <row r="218" spans="1:7">
      <c r="A218" s="105"/>
      <c r="B218" s="105"/>
      <c r="C218" s="30">
        <v>2</v>
      </c>
      <c r="D218" s="9" t="s">
        <v>1082</v>
      </c>
      <c r="E218" s="105"/>
      <c r="F218" s="46" t="s">
        <v>12</v>
      </c>
      <c r="G218" s="9"/>
    </row>
    <row r="219" spans="1:7">
      <c r="A219" s="105"/>
      <c r="B219" s="105"/>
      <c r="C219" s="30">
        <v>1</v>
      </c>
      <c r="D219" s="9" t="s">
        <v>1083</v>
      </c>
      <c r="E219" s="105"/>
      <c r="F219" s="46" t="s">
        <v>12</v>
      </c>
      <c r="G219" s="9"/>
    </row>
    <row r="220" spans="1:7">
      <c r="A220" s="106"/>
      <c r="B220" s="106"/>
      <c r="C220" s="30">
        <v>0</v>
      </c>
      <c r="D220" s="9" t="s">
        <v>1084</v>
      </c>
      <c r="E220" s="106"/>
      <c r="F220" s="46" t="s">
        <v>146</v>
      </c>
      <c r="G220" s="9"/>
    </row>
    <row r="221" spans="1:7">
      <c r="A221" s="107">
        <v>163</v>
      </c>
      <c r="B221" s="107" t="str">
        <f>DEC2HEX(A221, 2)</f>
        <v>A3</v>
      </c>
      <c r="C221" s="30">
        <v>7</v>
      </c>
      <c r="D221" s="9" t="s">
        <v>1085</v>
      </c>
      <c r="E221" s="111" t="s">
        <v>981</v>
      </c>
      <c r="F221" s="46" t="s">
        <v>12</v>
      </c>
      <c r="G221" s="9"/>
    </row>
    <row r="222" spans="1:7">
      <c r="A222" s="105"/>
      <c r="B222" s="105"/>
      <c r="C222" s="30">
        <v>6</v>
      </c>
      <c r="D222" s="9" t="s">
        <v>1086</v>
      </c>
      <c r="E222" s="105"/>
      <c r="F222" s="46" t="s">
        <v>12</v>
      </c>
      <c r="G222" s="9"/>
    </row>
    <row r="223" spans="1:7">
      <c r="A223" s="105"/>
      <c r="B223" s="105"/>
      <c r="C223" s="30">
        <v>5</v>
      </c>
      <c r="D223" s="9" t="s">
        <v>1087</v>
      </c>
      <c r="E223" s="105"/>
      <c r="F223" s="46" t="s">
        <v>12</v>
      </c>
      <c r="G223" s="9"/>
    </row>
    <row r="224" spans="1:7">
      <c r="A224" s="105"/>
      <c r="B224" s="105"/>
      <c r="C224" s="30">
        <v>4</v>
      </c>
      <c r="D224" s="9" t="s">
        <v>1088</v>
      </c>
      <c r="E224" s="105"/>
      <c r="F224" s="46" t="s">
        <v>12</v>
      </c>
      <c r="G224" s="9"/>
    </row>
    <row r="225" spans="1:7">
      <c r="A225" s="105"/>
      <c r="B225" s="105"/>
      <c r="C225" s="30">
        <v>3</v>
      </c>
      <c r="D225" s="9" t="s">
        <v>1089</v>
      </c>
      <c r="E225" s="105"/>
      <c r="F225" s="46" t="s">
        <v>12</v>
      </c>
      <c r="G225" s="9"/>
    </row>
    <row r="226" spans="1:7">
      <c r="A226" s="105"/>
      <c r="B226" s="105"/>
      <c r="C226" s="30">
        <v>2</v>
      </c>
      <c r="D226" s="9" t="s">
        <v>1090</v>
      </c>
      <c r="E226" s="105"/>
      <c r="F226" s="46" t="s">
        <v>12</v>
      </c>
      <c r="G226" s="9"/>
    </row>
    <row r="227" spans="1:7">
      <c r="A227" s="105"/>
      <c r="B227" s="105"/>
      <c r="C227" s="30">
        <v>1</v>
      </c>
      <c r="D227" s="9" t="s">
        <v>1091</v>
      </c>
      <c r="E227" s="105"/>
      <c r="F227" s="46" t="s">
        <v>12</v>
      </c>
      <c r="G227" s="9"/>
    </row>
    <row r="228" spans="1:7">
      <c r="A228" s="106"/>
      <c r="B228" s="106"/>
      <c r="C228" s="30">
        <v>0</v>
      </c>
      <c r="D228" s="9" t="s">
        <v>1092</v>
      </c>
      <c r="E228" s="106"/>
      <c r="F228" s="46" t="s">
        <v>146</v>
      </c>
      <c r="G228" s="9"/>
    </row>
    <row r="229" spans="1:7">
      <c r="A229" s="107">
        <v>164</v>
      </c>
      <c r="B229" s="107" t="str">
        <f>DEC2HEX(A229, 2)</f>
        <v>A4</v>
      </c>
      <c r="C229" s="40" t="s">
        <v>129</v>
      </c>
      <c r="D229" s="9" t="s">
        <v>1093</v>
      </c>
      <c r="E229" s="111" t="s">
        <v>981</v>
      </c>
      <c r="F229" s="46" t="s">
        <v>127</v>
      </c>
      <c r="G229" s="9"/>
    </row>
    <row r="230" spans="1:7">
      <c r="A230" s="106"/>
      <c r="B230" s="106"/>
      <c r="C230" s="30" t="s">
        <v>227</v>
      </c>
      <c r="D230" s="9" t="s">
        <v>1094</v>
      </c>
      <c r="E230" s="105"/>
      <c r="F230" s="46" t="s">
        <v>127</v>
      </c>
      <c r="G230" s="9"/>
    </row>
    <row r="231" spans="1:7">
      <c r="A231" s="107">
        <v>165</v>
      </c>
      <c r="B231" s="107" t="str">
        <f>DEC2HEX(A231, 2)</f>
        <v>A5</v>
      </c>
      <c r="C231" s="40" t="s">
        <v>129</v>
      </c>
      <c r="D231" s="9" t="s">
        <v>1095</v>
      </c>
      <c r="E231" s="105"/>
      <c r="F231" s="46" t="s">
        <v>127</v>
      </c>
      <c r="G231" s="9"/>
    </row>
    <row r="232" spans="1:7">
      <c r="A232" s="106"/>
      <c r="B232" s="106"/>
      <c r="C232" s="30" t="s">
        <v>227</v>
      </c>
      <c r="D232" s="9" t="s">
        <v>1096</v>
      </c>
      <c r="E232" s="105"/>
      <c r="F232" s="46" t="s">
        <v>127</v>
      </c>
      <c r="G232" s="9"/>
    </row>
    <row r="233" spans="1:7">
      <c r="A233" s="107">
        <v>166</v>
      </c>
      <c r="B233" s="107" t="str">
        <f>DEC2HEX(A233, 2)</f>
        <v>A6</v>
      </c>
      <c r="C233" s="40" t="s">
        <v>129</v>
      </c>
      <c r="D233" s="9" t="s">
        <v>1097</v>
      </c>
      <c r="E233" s="105"/>
      <c r="F233" s="46" t="s">
        <v>127</v>
      </c>
      <c r="G233" s="9"/>
    </row>
    <row r="234" spans="1:7">
      <c r="A234" s="106"/>
      <c r="B234" s="106"/>
      <c r="C234" s="30" t="s">
        <v>227</v>
      </c>
      <c r="D234" s="9" t="s">
        <v>1098</v>
      </c>
      <c r="E234" s="105"/>
      <c r="F234" s="46" t="s">
        <v>127</v>
      </c>
      <c r="G234" s="9"/>
    </row>
    <row r="235" spans="1:7">
      <c r="A235" s="107">
        <v>167</v>
      </c>
      <c r="B235" s="107" t="str">
        <f>DEC2HEX(A235, 2)</f>
        <v>A7</v>
      </c>
      <c r="C235" s="40" t="s">
        <v>129</v>
      </c>
      <c r="D235" s="9" t="s">
        <v>1099</v>
      </c>
      <c r="E235" s="105"/>
      <c r="F235" s="46" t="s">
        <v>127</v>
      </c>
      <c r="G235" s="9"/>
    </row>
    <row r="236" spans="1:7">
      <c r="A236" s="106"/>
      <c r="B236" s="106"/>
      <c r="C236" s="30" t="s">
        <v>227</v>
      </c>
      <c r="D236" s="9" t="s">
        <v>1100</v>
      </c>
      <c r="E236" s="106"/>
      <c r="F236" s="46" t="s">
        <v>127</v>
      </c>
      <c r="G236" s="9"/>
    </row>
    <row r="237" spans="1:7">
      <c r="A237" s="107">
        <v>168</v>
      </c>
      <c r="B237" s="107" t="str">
        <f>DEC2HEX(A237, 2)</f>
        <v>A8</v>
      </c>
      <c r="C237" s="30">
        <v>7</v>
      </c>
      <c r="D237" s="9" t="s">
        <v>1101</v>
      </c>
      <c r="E237" s="111" t="s">
        <v>981</v>
      </c>
      <c r="F237" s="46" t="s">
        <v>12</v>
      </c>
      <c r="G237" s="9"/>
    </row>
    <row r="238" spans="1:7">
      <c r="A238" s="105"/>
      <c r="B238" s="105"/>
      <c r="C238" s="30">
        <v>6</v>
      </c>
      <c r="D238" s="9" t="s">
        <v>1102</v>
      </c>
      <c r="E238" s="105"/>
      <c r="F238" s="46" t="s">
        <v>12</v>
      </c>
      <c r="G238" s="9"/>
    </row>
    <row r="239" spans="1:7">
      <c r="A239" s="105"/>
      <c r="B239" s="105"/>
      <c r="C239" s="30">
        <v>5</v>
      </c>
      <c r="D239" s="9" t="s">
        <v>1103</v>
      </c>
      <c r="E239" s="105"/>
      <c r="F239" s="46" t="s">
        <v>12</v>
      </c>
      <c r="G239" s="9"/>
    </row>
    <row r="240" spans="1:7">
      <c r="A240" s="105"/>
      <c r="B240" s="105"/>
      <c r="C240" s="30">
        <v>4</v>
      </c>
      <c r="D240" s="9" t="s">
        <v>1104</v>
      </c>
      <c r="E240" s="105"/>
      <c r="F240" s="46" t="s">
        <v>12</v>
      </c>
      <c r="G240" s="9"/>
    </row>
    <row r="241" spans="1:7">
      <c r="A241" s="105"/>
      <c r="B241" s="105"/>
      <c r="C241" s="30">
        <v>3</v>
      </c>
      <c r="D241" s="9" t="s">
        <v>1105</v>
      </c>
      <c r="E241" s="105"/>
      <c r="F241" s="46" t="s">
        <v>12</v>
      </c>
      <c r="G241" s="9"/>
    </row>
    <row r="242" spans="1:7">
      <c r="A242" s="105"/>
      <c r="B242" s="105"/>
      <c r="C242" s="30">
        <v>2</v>
      </c>
      <c r="D242" s="9" t="s">
        <v>1106</v>
      </c>
      <c r="E242" s="105"/>
      <c r="F242" s="46" t="s">
        <v>12</v>
      </c>
      <c r="G242" s="9"/>
    </row>
    <row r="243" spans="1:7">
      <c r="A243" s="105"/>
      <c r="B243" s="105"/>
      <c r="C243" s="30">
        <v>1</v>
      </c>
      <c r="D243" s="9" t="s">
        <v>1107</v>
      </c>
      <c r="E243" s="105"/>
      <c r="F243" s="46" t="s">
        <v>12</v>
      </c>
      <c r="G243" s="9"/>
    </row>
    <row r="244" spans="1:7">
      <c r="A244" s="106"/>
      <c r="B244" s="106"/>
      <c r="C244" s="30">
        <v>0</v>
      </c>
      <c r="D244" s="9" t="s">
        <v>1108</v>
      </c>
      <c r="E244" s="106"/>
      <c r="F244" s="46" t="s">
        <v>146</v>
      </c>
      <c r="G244" s="9"/>
    </row>
    <row r="245" spans="1:7">
      <c r="A245" s="107">
        <v>169</v>
      </c>
      <c r="B245" s="107" t="str">
        <f>DEC2HEX(A245, 2)</f>
        <v>A9</v>
      </c>
      <c r="C245" s="30">
        <v>7</v>
      </c>
      <c r="D245" s="9" t="s">
        <v>1109</v>
      </c>
      <c r="E245" s="111" t="s">
        <v>981</v>
      </c>
      <c r="F245" s="46" t="s">
        <v>12</v>
      </c>
      <c r="G245" s="9"/>
    </row>
    <row r="246" spans="1:7">
      <c r="A246" s="105"/>
      <c r="B246" s="105"/>
      <c r="C246" s="30">
        <v>6</v>
      </c>
      <c r="D246" s="9" t="s">
        <v>1110</v>
      </c>
      <c r="E246" s="105"/>
      <c r="F246" s="46" t="s">
        <v>12</v>
      </c>
      <c r="G246" s="9"/>
    </row>
    <row r="247" spans="1:7">
      <c r="A247" s="105"/>
      <c r="B247" s="105"/>
      <c r="C247" s="30">
        <v>5</v>
      </c>
      <c r="D247" s="9" t="s">
        <v>1111</v>
      </c>
      <c r="E247" s="105"/>
      <c r="F247" s="46" t="s">
        <v>12</v>
      </c>
      <c r="G247" s="9"/>
    </row>
    <row r="248" spans="1:7">
      <c r="A248" s="105"/>
      <c r="B248" s="105"/>
      <c r="C248" s="30">
        <v>4</v>
      </c>
      <c r="D248" s="9" t="s">
        <v>1112</v>
      </c>
      <c r="E248" s="105"/>
      <c r="F248" s="46" t="s">
        <v>12</v>
      </c>
      <c r="G248" s="9"/>
    </row>
    <row r="249" spans="1:7">
      <c r="A249" s="105"/>
      <c r="B249" s="105"/>
      <c r="C249" s="30">
        <v>3</v>
      </c>
      <c r="D249" s="9" t="s">
        <v>1113</v>
      </c>
      <c r="E249" s="105"/>
      <c r="F249" s="46" t="s">
        <v>12</v>
      </c>
      <c r="G249" s="9"/>
    </row>
    <row r="250" spans="1:7">
      <c r="A250" s="105"/>
      <c r="B250" s="105"/>
      <c r="C250" s="30">
        <v>2</v>
      </c>
      <c r="D250" s="9" t="s">
        <v>1114</v>
      </c>
      <c r="E250" s="105"/>
      <c r="F250" s="46" t="s">
        <v>12</v>
      </c>
      <c r="G250" s="9"/>
    </row>
    <row r="251" spans="1:7">
      <c r="A251" s="105"/>
      <c r="B251" s="105"/>
      <c r="C251" s="30">
        <v>1</v>
      </c>
      <c r="D251" s="9" t="s">
        <v>1115</v>
      </c>
      <c r="E251" s="105"/>
      <c r="F251" s="46" t="s">
        <v>12</v>
      </c>
      <c r="G251" s="9"/>
    </row>
    <row r="252" spans="1:7">
      <c r="A252" s="106"/>
      <c r="B252" s="106"/>
      <c r="C252" s="30">
        <v>0</v>
      </c>
      <c r="D252" s="9" t="s">
        <v>1116</v>
      </c>
      <c r="E252" s="106"/>
      <c r="F252" s="46" t="s">
        <v>146</v>
      </c>
      <c r="G252" s="9"/>
    </row>
    <row r="253" spans="1:7">
      <c r="A253" s="107">
        <v>170</v>
      </c>
      <c r="B253" s="107" t="str">
        <f>DEC2HEX(A253, 2)</f>
        <v>AA</v>
      </c>
      <c r="C253" s="30">
        <v>7</v>
      </c>
      <c r="D253" s="9" t="s">
        <v>1117</v>
      </c>
      <c r="E253" s="111" t="s">
        <v>981</v>
      </c>
      <c r="F253" s="46" t="s">
        <v>12</v>
      </c>
      <c r="G253" s="9"/>
    </row>
    <row r="254" spans="1:7">
      <c r="A254" s="105"/>
      <c r="B254" s="105"/>
      <c r="C254" s="30">
        <v>6</v>
      </c>
      <c r="D254" s="9" t="s">
        <v>1118</v>
      </c>
      <c r="E254" s="105"/>
      <c r="F254" s="46" t="s">
        <v>12</v>
      </c>
      <c r="G254" s="9"/>
    </row>
    <row r="255" spans="1:7">
      <c r="A255" s="105"/>
      <c r="B255" s="105"/>
      <c r="C255" s="30">
        <v>5</v>
      </c>
      <c r="D255" s="9" t="s">
        <v>1119</v>
      </c>
      <c r="E255" s="105"/>
      <c r="F255" s="46" t="s">
        <v>12</v>
      </c>
      <c r="G255" s="9"/>
    </row>
    <row r="256" spans="1:7">
      <c r="A256" s="105"/>
      <c r="B256" s="105"/>
      <c r="C256" s="30">
        <v>4</v>
      </c>
      <c r="D256" s="9" t="s">
        <v>1120</v>
      </c>
      <c r="E256" s="105"/>
      <c r="F256" s="46" t="s">
        <v>12</v>
      </c>
      <c r="G256" s="9"/>
    </row>
    <row r="257" spans="1:7">
      <c r="A257" s="105"/>
      <c r="B257" s="105"/>
      <c r="C257" s="30">
        <v>3</v>
      </c>
      <c r="D257" s="9" t="s">
        <v>1121</v>
      </c>
      <c r="E257" s="105"/>
      <c r="F257" s="46" t="s">
        <v>12</v>
      </c>
      <c r="G257" s="9"/>
    </row>
    <row r="258" spans="1:7">
      <c r="A258" s="105"/>
      <c r="B258" s="105"/>
      <c r="C258" s="30">
        <v>2</v>
      </c>
      <c r="D258" s="9" t="s">
        <v>1122</v>
      </c>
      <c r="E258" s="105"/>
      <c r="F258" s="46" t="s">
        <v>12</v>
      </c>
      <c r="G258" s="9"/>
    </row>
    <row r="259" spans="1:7">
      <c r="A259" s="105"/>
      <c r="B259" s="105"/>
      <c r="C259" s="30">
        <v>1</v>
      </c>
      <c r="D259" s="9" t="s">
        <v>1123</v>
      </c>
      <c r="E259" s="105"/>
      <c r="F259" s="46" t="s">
        <v>12</v>
      </c>
      <c r="G259" s="9"/>
    </row>
    <row r="260" spans="1:7">
      <c r="A260" s="106"/>
      <c r="B260" s="106"/>
      <c r="C260" s="30">
        <v>0</v>
      </c>
      <c r="D260" s="9" t="s">
        <v>1124</v>
      </c>
      <c r="E260" s="106"/>
      <c r="F260" s="46" t="s">
        <v>146</v>
      </c>
      <c r="G260" s="9"/>
    </row>
    <row r="261" spans="1:7">
      <c r="A261" s="107">
        <v>171</v>
      </c>
      <c r="B261" s="107" t="str">
        <f>DEC2HEX(A261, 2)</f>
        <v>AB</v>
      </c>
      <c r="C261" s="30">
        <v>7</v>
      </c>
      <c r="D261" s="9" t="s">
        <v>1125</v>
      </c>
      <c r="E261" s="111" t="s">
        <v>981</v>
      </c>
      <c r="F261" s="46" t="s">
        <v>12</v>
      </c>
      <c r="G261" s="9"/>
    </row>
    <row r="262" spans="1:7">
      <c r="A262" s="105"/>
      <c r="B262" s="105"/>
      <c r="C262" s="30">
        <v>6</v>
      </c>
      <c r="D262" s="9" t="s">
        <v>1126</v>
      </c>
      <c r="E262" s="105"/>
      <c r="F262" s="46" t="s">
        <v>12</v>
      </c>
      <c r="G262" s="9"/>
    </row>
    <row r="263" spans="1:7">
      <c r="A263" s="105"/>
      <c r="B263" s="105"/>
      <c r="C263" s="30">
        <v>5</v>
      </c>
      <c r="D263" s="9" t="s">
        <v>1127</v>
      </c>
      <c r="E263" s="105"/>
      <c r="F263" s="46" t="s">
        <v>12</v>
      </c>
      <c r="G263" s="9"/>
    </row>
    <row r="264" spans="1:7">
      <c r="A264" s="105"/>
      <c r="B264" s="105"/>
      <c r="C264" s="30">
        <v>4</v>
      </c>
      <c r="D264" s="9" t="s">
        <v>1128</v>
      </c>
      <c r="E264" s="105"/>
      <c r="F264" s="46" t="s">
        <v>12</v>
      </c>
      <c r="G264" s="9"/>
    </row>
    <row r="265" spans="1:7">
      <c r="A265" s="105"/>
      <c r="B265" s="105"/>
      <c r="C265" s="30">
        <v>3</v>
      </c>
      <c r="D265" s="9" t="s">
        <v>1129</v>
      </c>
      <c r="E265" s="105"/>
      <c r="F265" s="46" t="s">
        <v>12</v>
      </c>
      <c r="G265" s="9"/>
    </row>
    <row r="266" spans="1:7">
      <c r="A266" s="105"/>
      <c r="B266" s="105"/>
      <c r="C266" s="30">
        <v>2</v>
      </c>
      <c r="D266" s="9" t="s">
        <v>1130</v>
      </c>
      <c r="E266" s="105"/>
      <c r="F266" s="46" t="s">
        <v>12</v>
      </c>
      <c r="G266" s="9"/>
    </row>
    <row r="267" spans="1:7">
      <c r="A267" s="105"/>
      <c r="B267" s="105"/>
      <c r="C267" s="30">
        <v>1</v>
      </c>
      <c r="D267" s="9" t="s">
        <v>1131</v>
      </c>
      <c r="E267" s="105"/>
      <c r="F267" s="46" t="s">
        <v>12</v>
      </c>
      <c r="G267" s="9"/>
    </row>
    <row r="268" spans="1:7">
      <c r="A268" s="106"/>
      <c r="B268" s="106"/>
      <c r="C268" s="30">
        <v>0</v>
      </c>
      <c r="D268" s="9" t="s">
        <v>1132</v>
      </c>
      <c r="E268" s="106"/>
      <c r="F268" s="46" t="s">
        <v>146</v>
      </c>
      <c r="G268" s="9"/>
    </row>
    <row r="269" spans="1:7">
      <c r="A269" s="107">
        <v>172</v>
      </c>
      <c r="B269" s="107" t="str">
        <f>DEC2HEX(A269, 2)</f>
        <v>AC</v>
      </c>
      <c r="C269" s="40" t="s">
        <v>129</v>
      </c>
      <c r="D269" s="9" t="s">
        <v>1133</v>
      </c>
      <c r="E269" s="111" t="s">
        <v>981</v>
      </c>
      <c r="F269" s="46" t="s">
        <v>30</v>
      </c>
      <c r="G269" s="9"/>
    </row>
    <row r="270" spans="1:7">
      <c r="A270" s="106"/>
      <c r="B270" s="106"/>
      <c r="C270" s="30" t="s">
        <v>227</v>
      </c>
      <c r="D270" s="9" t="s">
        <v>1134</v>
      </c>
      <c r="E270" s="105"/>
      <c r="F270" s="46" t="s">
        <v>127</v>
      </c>
      <c r="G270" s="9"/>
    </row>
    <row r="271" spans="1:7">
      <c r="A271" s="107">
        <v>173</v>
      </c>
      <c r="B271" s="107" t="str">
        <f>DEC2HEX(A271, 2)</f>
        <v>AD</v>
      </c>
      <c r="C271" s="40" t="s">
        <v>129</v>
      </c>
      <c r="D271" s="9" t="s">
        <v>1135</v>
      </c>
      <c r="E271" s="105"/>
      <c r="F271" s="46" t="s">
        <v>30</v>
      </c>
      <c r="G271" s="9"/>
    </row>
    <row r="272" spans="1:7">
      <c r="A272" s="106"/>
      <c r="B272" s="106"/>
      <c r="C272" s="30" t="s">
        <v>227</v>
      </c>
      <c r="D272" s="9" t="s">
        <v>1136</v>
      </c>
      <c r="E272" s="105"/>
      <c r="F272" s="46" t="s">
        <v>30</v>
      </c>
      <c r="G272" s="9"/>
    </row>
    <row r="273" spans="1:7">
      <c r="A273" s="107">
        <v>174</v>
      </c>
      <c r="B273" s="107" t="str">
        <f>DEC2HEX(A273, 2)</f>
        <v>AE</v>
      </c>
      <c r="C273" s="40" t="s">
        <v>129</v>
      </c>
      <c r="D273" s="9" t="s">
        <v>1137</v>
      </c>
      <c r="E273" s="105"/>
      <c r="F273" s="46" t="s">
        <v>30</v>
      </c>
      <c r="G273" s="9"/>
    </row>
    <row r="274" spans="1:7">
      <c r="A274" s="106"/>
      <c r="B274" s="106"/>
      <c r="C274" s="30" t="s">
        <v>227</v>
      </c>
      <c r="D274" s="9" t="s">
        <v>1138</v>
      </c>
      <c r="E274" s="105"/>
      <c r="F274" s="46" t="s">
        <v>30</v>
      </c>
      <c r="G274" s="9"/>
    </row>
    <row r="275" spans="1:7">
      <c r="A275" s="107">
        <v>175</v>
      </c>
      <c r="B275" s="107" t="str">
        <f>DEC2HEX(A275, 2)</f>
        <v>AF</v>
      </c>
      <c r="C275" s="40" t="s">
        <v>129</v>
      </c>
      <c r="D275" s="9" t="s">
        <v>1139</v>
      </c>
      <c r="E275" s="105"/>
      <c r="F275" s="46" t="s">
        <v>30</v>
      </c>
      <c r="G275" s="9"/>
    </row>
    <row r="276" spans="1:7">
      <c r="A276" s="106"/>
      <c r="B276" s="106"/>
      <c r="C276" s="30" t="s">
        <v>227</v>
      </c>
      <c r="D276" s="9" t="s">
        <v>1140</v>
      </c>
      <c r="E276" s="106"/>
      <c r="F276" s="46" t="s">
        <v>30</v>
      </c>
      <c r="G276" s="9"/>
    </row>
    <row r="277" spans="1:7">
      <c r="A277" s="107">
        <v>176</v>
      </c>
      <c r="B277" s="107" t="str">
        <f>DEC2HEX(A277, 2)</f>
        <v>B0</v>
      </c>
      <c r="C277" s="40" t="s">
        <v>129</v>
      </c>
      <c r="D277" s="9" t="s">
        <v>1141</v>
      </c>
      <c r="E277" s="111" t="s">
        <v>1142</v>
      </c>
      <c r="F277" s="46" t="s">
        <v>30</v>
      </c>
      <c r="G277" s="9"/>
    </row>
    <row r="278" spans="1:7">
      <c r="A278" s="106"/>
      <c r="B278" s="106"/>
      <c r="C278" s="30" t="s">
        <v>227</v>
      </c>
      <c r="D278" s="9" t="s">
        <v>1143</v>
      </c>
      <c r="E278" s="106"/>
      <c r="F278" s="46" t="s">
        <v>30</v>
      </c>
      <c r="G278" s="9"/>
    </row>
    <row r="279" spans="1:7">
      <c r="A279" s="107">
        <v>177</v>
      </c>
      <c r="B279" s="107" t="str">
        <f>DEC2HEX(A279, 2)</f>
        <v>B1</v>
      </c>
      <c r="C279" s="30">
        <v>7</v>
      </c>
      <c r="D279" s="9" t="s">
        <v>1144</v>
      </c>
      <c r="E279" s="111" t="s">
        <v>1142</v>
      </c>
      <c r="F279" s="46" t="s">
        <v>137</v>
      </c>
      <c r="G279" s="9" t="s">
        <v>1145</v>
      </c>
    </row>
    <row r="280" spans="1:7">
      <c r="A280" s="105"/>
      <c r="B280" s="105"/>
      <c r="C280" s="30">
        <v>6</v>
      </c>
      <c r="D280" s="9" t="s">
        <v>8</v>
      </c>
      <c r="E280" s="105"/>
      <c r="F280" s="46" t="s">
        <v>12</v>
      </c>
      <c r="G280" s="9"/>
    </row>
    <row r="281" spans="1:7">
      <c r="A281" s="105"/>
      <c r="B281" s="105"/>
      <c r="C281" s="30">
        <v>5</v>
      </c>
      <c r="D281" s="9" t="s">
        <v>1146</v>
      </c>
      <c r="E281" s="105"/>
      <c r="F281" s="46" t="s">
        <v>12</v>
      </c>
      <c r="G281" s="9"/>
    </row>
    <row r="282" spans="1:7">
      <c r="A282" s="105"/>
      <c r="B282" s="105"/>
      <c r="C282" s="30">
        <v>4</v>
      </c>
      <c r="D282" s="9" t="s">
        <v>1147</v>
      </c>
      <c r="E282" s="105"/>
      <c r="F282" s="46" t="s">
        <v>12</v>
      </c>
      <c r="G282" s="9"/>
    </row>
    <row r="283" spans="1:7">
      <c r="A283" s="105"/>
      <c r="B283" s="105"/>
      <c r="C283" s="40" t="s">
        <v>130</v>
      </c>
      <c r="D283" s="9" t="s">
        <v>1148</v>
      </c>
      <c r="E283" s="105"/>
      <c r="F283" s="46" t="s">
        <v>160</v>
      </c>
      <c r="G283" s="9"/>
    </row>
    <row r="284" spans="1:7">
      <c r="A284" s="106"/>
      <c r="B284" s="106"/>
      <c r="C284" s="30">
        <v>0</v>
      </c>
      <c r="D284" s="9" t="s">
        <v>1149</v>
      </c>
      <c r="E284" s="106"/>
      <c r="F284" s="46" t="s">
        <v>1150</v>
      </c>
      <c r="G284" s="9" t="s">
        <v>1151</v>
      </c>
    </row>
    <row r="285" spans="1:7">
      <c r="A285" s="107">
        <v>178</v>
      </c>
      <c r="B285" s="107" t="str">
        <f>DEC2HEX(A285, 2)</f>
        <v>B2</v>
      </c>
      <c r="C285" s="40" t="s">
        <v>129</v>
      </c>
      <c r="D285" s="9" t="s">
        <v>8</v>
      </c>
      <c r="E285" s="112" t="s">
        <v>25</v>
      </c>
      <c r="F285" s="46" t="s">
        <v>30</v>
      </c>
      <c r="G285" s="9"/>
    </row>
    <row r="286" spans="1:7">
      <c r="A286" s="105"/>
      <c r="B286" s="105"/>
      <c r="C286" s="40" t="s">
        <v>698</v>
      </c>
      <c r="D286" s="9" t="s">
        <v>1152</v>
      </c>
      <c r="E286" s="105"/>
      <c r="F286" s="46" t="s">
        <v>32</v>
      </c>
      <c r="G286" s="9"/>
    </row>
    <row r="287" spans="1:7">
      <c r="A287" s="106"/>
      <c r="B287" s="106"/>
      <c r="C287" s="30" t="s">
        <v>13</v>
      </c>
      <c r="D287" s="9" t="s">
        <v>1153</v>
      </c>
      <c r="E287" s="106"/>
      <c r="F287" s="46" t="s">
        <v>32</v>
      </c>
      <c r="G287" s="9"/>
    </row>
    <row r="288" spans="1:7">
      <c r="A288" s="7">
        <v>179</v>
      </c>
      <c r="B288" s="7" t="str">
        <f>DEC2HEX(A288, 2)</f>
        <v>B3</v>
      </c>
      <c r="C288" s="30" t="s">
        <v>18</v>
      </c>
      <c r="D288" s="9" t="s">
        <v>190</v>
      </c>
      <c r="E288" s="9" t="s">
        <v>25</v>
      </c>
      <c r="F288" s="46" t="s">
        <v>146</v>
      </c>
      <c r="G288" s="9"/>
    </row>
    <row r="289" spans="1:7">
      <c r="A289" s="107">
        <v>180</v>
      </c>
      <c r="B289" s="107" t="str">
        <f>DEC2HEX(A289, 2)</f>
        <v>B4</v>
      </c>
      <c r="C289" s="30">
        <v>7</v>
      </c>
      <c r="D289" s="9" t="s">
        <v>1154</v>
      </c>
      <c r="E289" s="111" t="s">
        <v>1155</v>
      </c>
      <c r="F289" s="46" t="s">
        <v>12</v>
      </c>
      <c r="G289" s="9"/>
    </row>
    <row r="290" spans="1:7">
      <c r="A290" s="105"/>
      <c r="B290" s="105"/>
      <c r="C290" s="30">
        <v>6</v>
      </c>
      <c r="D290" s="9" t="s">
        <v>1156</v>
      </c>
      <c r="E290" s="105"/>
      <c r="F290" s="46" t="s">
        <v>12</v>
      </c>
      <c r="G290" s="9"/>
    </row>
    <row r="291" spans="1:7">
      <c r="A291" s="105"/>
      <c r="B291" s="105"/>
      <c r="C291" s="30">
        <v>5</v>
      </c>
      <c r="D291" s="9" t="s">
        <v>1157</v>
      </c>
      <c r="E291" s="105"/>
      <c r="F291" s="46" t="s">
        <v>12</v>
      </c>
      <c r="G291" s="9"/>
    </row>
    <row r="292" spans="1:7">
      <c r="A292" s="105"/>
      <c r="B292" s="105"/>
      <c r="C292" s="30">
        <v>4</v>
      </c>
      <c r="D292" s="9" t="s">
        <v>1158</v>
      </c>
      <c r="E292" s="105"/>
      <c r="F292" s="46" t="s">
        <v>12</v>
      </c>
      <c r="G292" s="9"/>
    </row>
    <row r="293" spans="1:7">
      <c r="A293" s="105"/>
      <c r="B293" s="105"/>
      <c r="C293" s="30">
        <v>3</v>
      </c>
      <c r="D293" s="9" t="s">
        <v>1159</v>
      </c>
      <c r="E293" s="105"/>
      <c r="F293" s="46" t="s">
        <v>12</v>
      </c>
      <c r="G293" s="9"/>
    </row>
    <row r="294" spans="1:7">
      <c r="A294" s="105"/>
      <c r="B294" s="105"/>
      <c r="C294" s="30">
        <v>2</v>
      </c>
      <c r="D294" s="9" t="s">
        <v>1160</v>
      </c>
      <c r="E294" s="105"/>
      <c r="F294" s="46" t="s">
        <v>12</v>
      </c>
      <c r="G294" s="9"/>
    </row>
    <row r="295" spans="1:7">
      <c r="A295" s="105"/>
      <c r="B295" s="105"/>
      <c r="C295" s="30">
        <v>1</v>
      </c>
      <c r="D295" s="9" t="s">
        <v>1161</v>
      </c>
      <c r="E295" s="105"/>
      <c r="F295" s="46" t="s">
        <v>12</v>
      </c>
      <c r="G295" s="9"/>
    </row>
    <row r="296" spans="1:7">
      <c r="A296" s="106"/>
      <c r="B296" s="106"/>
      <c r="C296" s="30">
        <v>0</v>
      </c>
      <c r="D296" s="9" t="s">
        <v>1162</v>
      </c>
      <c r="E296" s="106"/>
      <c r="F296" s="46" t="s">
        <v>146</v>
      </c>
      <c r="G296" s="9"/>
    </row>
    <row r="297" spans="1:7">
      <c r="A297" s="107">
        <v>181</v>
      </c>
      <c r="B297" s="107" t="str">
        <f>DEC2HEX(A297, 2)</f>
        <v>B5</v>
      </c>
      <c r="C297" s="30">
        <v>7</v>
      </c>
      <c r="D297" s="9" t="s">
        <v>1163</v>
      </c>
      <c r="E297" s="111" t="s">
        <v>1155</v>
      </c>
      <c r="F297" s="46" t="s">
        <v>12</v>
      </c>
      <c r="G297" s="9"/>
    </row>
    <row r="298" spans="1:7">
      <c r="A298" s="105"/>
      <c r="B298" s="105"/>
      <c r="C298" s="30">
        <v>6</v>
      </c>
      <c r="D298" s="9" t="s">
        <v>1164</v>
      </c>
      <c r="E298" s="105"/>
      <c r="F298" s="46" t="s">
        <v>12</v>
      </c>
      <c r="G298" s="9"/>
    </row>
    <row r="299" spans="1:7">
      <c r="A299" s="105"/>
      <c r="B299" s="105"/>
      <c r="C299" s="30">
        <v>5</v>
      </c>
      <c r="D299" s="9" t="s">
        <v>1165</v>
      </c>
      <c r="E299" s="105"/>
      <c r="F299" s="46" t="s">
        <v>12</v>
      </c>
      <c r="G299" s="9"/>
    </row>
    <row r="300" spans="1:7">
      <c r="A300" s="105"/>
      <c r="B300" s="105"/>
      <c r="C300" s="30">
        <v>4</v>
      </c>
      <c r="D300" s="9" t="s">
        <v>1166</v>
      </c>
      <c r="E300" s="105"/>
      <c r="F300" s="46" t="s">
        <v>12</v>
      </c>
      <c r="G300" s="9"/>
    </row>
    <row r="301" spans="1:7">
      <c r="A301" s="105"/>
      <c r="B301" s="105"/>
      <c r="C301" s="30">
        <v>3</v>
      </c>
      <c r="D301" s="9" t="s">
        <v>1167</v>
      </c>
      <c r="E301" s="105"/>
      <c r="F301" s="46" t="s">
        <v>12</v>
      </c>
      <c r="G301" s="9"/>
    </row>
    <row r="302" spans="1:7">
      <c r="A302" s="105"/>
      <c r="B302" s="105"/>
      <c r="C302" s="30">
        <v>2</v>
      </c>
      <c r="D302" s="9" t="s">
        <v>1168</v>
      </c>
      <c r="E302" s="105"/>
      <c r="F302" s="46" t="s">
        <v>12</v>
      </c>
      <c r="G302" s="9"/>
    </row>
    <row r="303" spans="1:7">
      <c r="A303" s="105"/>
      <c r="B303" s="105"/>
      <c r="C303" s="30">
        <v>1</v>
      </c>
      <c r="D303" s="9" t="s">
        <v>1169</v>
      </c>
      <c r="E303" s="105"/>
      <c r="F303" s="46" t="s">
        <v>12</v>
      </c>
      <c r="G303" s="9"/>
    </row>
    <row r="304" spans="1:7">
      <c r="A304" s="106"/>
      <c r="B304" s="106"/>
      <c r="C304" s="30">
        <v>0</v>
      </c>
      <c r="D304" s="9" t="s">
        <v>1170</v>
      </c>
      <c r="E304" s="106"/>
      <c r="F304" s="46" t="s">
        <v>146</v>
      </c>
      <c r="G304" s="9"/>
    </row>
    <row r="305" spans="1:7">
      <c r="A305" s="107">
        <v>182</v>
      </c>
      <c r="B305" s="107" t="str">
        <f>DEC2HEX(A305, 2)</f>
        <v>B6</v>
      </c>
      <c r="C305" s="30">
        <v>7</v>
      </c>
      <c r="D305" s="9" t="s">
        <v>1171</v>
      </c>
      <c r="E305" s="111" t="s">
        <v>1155</v>
      </c>
      <c r="F305" s="46" t="s">
        <v>12</v>
      </c>
      <c r="G305" s="9"/>
    </row>
    <row r="306" spans="1:7">
      <c r="A306" s="105"/>
      <c r="B306" s="105"/>
      <c r="C306" s="30">
        <v>6</v>
      </c>
      <c r="D306" s="9" t="s">
        <v>1172</v>
      </c>
      <c r="E306" s="105"/>
      <c r="F306" s="46" t="s">
        <v>12</v>
      </c>
      <c r="G306" s="9"/>
    </row>
    <row r="307" spans="1:7">
      <c r="A307" s="105"/>
      <c r="B307" s="105"/>
      <c r="C307" s="30">
        <v>5</v>
      </c>
      <c r="D307" s="9" t="s">
        <v>1173</v>
      </c>
      <c r="E307" s="105"/>
      <c r="F307" s="46" t="s">
        <v>12</v>
      </c>
      <c r="G307" s="9"/>
    </row>
    <row r="308" spans="1:7">
      <c r="A308" s="105"/>
      <c r="B308" s="105"/>
      <c r="C308" s="30">
        <v>4</v>
      </c>
      <c r="D308" s="9" t="s">
        <v>1174</v>
      </c>
      <c r="E308" s="105"/>
      <c r="F308" s="46" t="s">
        <v>12</v>
      </c>
      <c r="G308" s="9"/>
    </row>
    <row r="309" spans="1:7">
      <c r="A309" s="105"/>
      <c r="B309" s="105"/>
      <c r="C309" s="30">
        <v>3</v>
      </c>
      <c r="D309" s="9" t="s">
        <v>1175</v>
      </c>
      <c r="E309" s="105"/>
      <c r="F309" s="46" t="s">
        <v>12</v>
      </c>
      <c r="G309" s="9"/>
    </row>
    <row r="310" spans="1:7">
      <c r="A310" s="105"/>
      <c r="B310" s="105"/>
      <c r="C310" s="30">
        <v>2</v>
      </c>
      <c r="D310" s="9" t="s">
        <v>1176</v>
      </c>
      <c r="E310" s="105"/>
      <c r="F310" s="46" t="s">
        <v>12</v>
      </c>
      <c r="G310" s="9"/>
    </row>
    <row r="311" spans="1:7">
      <c r="A311" s="105"/>
      <c r="B311" s="105"/>
      <c r="C311" s="30">
        <v>1</v>
      </c>
      <c r="D311" s="9" t="s">
        <v>1177</v>
      </c>
      <c r="E311" s="105"/>
      <c r="F311" s="46" t="s">
        <v>12</v>
      </c>
      <c r="G311" s="9"/>
    </row>
    <row r="312" spans="1:7">
      <c r="A312" s="106"/>
      <c r="B312" s="106"/>
      <c r="C312" s="30">
        <v>0</v>
      </c>
      <c r="D312" s="9" t="s">
        <v>1178</v>
      </c>
      <c r="E312" s="106"/>
      <c r="F312" s="46" t="s">
        <v>146</v>
      </c>
      <c r="G312" s="9"/>
    </row>
    <row r="313" spans="1:7">
      <c r="A313" s="107">
        <v>183</v>
      </c>
      <c r="B313" s="107" t="str">
        <f>DEC2HEX(A313, 2)</f>
        <v>B7</v>
      </c>
      <c r="C313" s="30">
        <v>7</v>
      </c>
      <c r="D313" s="9" t="s">
        <v>1179</v>
      </c>
      <c r="E313" s="111" t="s">
        <v>1155</v>
      </c>
      <c r="F313" s="46" t="s">
        <v>12</v>
      </c>
      <c r="G313" s="9"/>
    </row>
    <row r="314" spans="1:7">
      <c r="A314" s="105"/>
      <c r="B314" s="105"/>
      <c r="C314" s="30">
        <v>6</v>
      </c>
      <c r="D314" s="9" t="s">
        <v>1180</v>
      </c>
      <c r="E314" s="105"/>
      <c r="F314" s="46" t="s">
        <v>12</v>
      </c>
      <c r="G314" s="9"/>
    </row>
    <row r="315" spans="1:7">
      <c r="A315" s="105"/>
      <c r="B315" s="105"/>
      <c r="C315" s="30">
        <v>5</v>
      </c>
      <c r="D315" s="9" t="s">
        <v>1181</v>
      </c>
      <c r="E315" s="105"/>
      <c r="F315" s="46" t="s">
        <v>12</v>
      </c>
      <c r="G315" s="9"/>
    </row>
    <row r="316" spans="1:7">
      <c r="A316" s="105"/>
      <c r="B316" s="105"/>
      <c r="C316" s="30">
        <v>4</v>
      </c>
      <c r="D316" s="9" t="s">
        <v>1182</v>
      </c>
      <c r="E316" s="105"/>
      <c r="F316" s="46" t="s">
        <v>12</v>
      </c>
      <c r="G316" s="9"/>
    </row>
    <row r="317" spans="1:7">
      <c r="A317" s="105"/>
      <c r="B317" s="105"/>
      <c r="C317" s="30">
        <v>3</v>
      </c>
      <c r="D317" s="9" t="s">
        <v>1183</v>
      </c>
      <c r="E317" s="105"/>
      <c r="F317" s="46" t="s">
        <v>12</v>
      </c>
      <c r="G317" s="9"/>
    </row>
    <row r="318" spans="1:7">
      <c r="A318" s="105"/>
      <c r="B318" s="105"/>
      <c r="C318" s="30">
        <v>2</v>
      </c>
      <c r="D318" s="9" t="s">
        <v>1184</v>
      </c>
      <c r="E318" s="105"/>
      <c r="F318" s="46" t="s">
        <v>12</v>
      </c>
      <c r="G318" s="9"/>
    </row>
    <row r="319" spans="1:7">
      <c r="A319" s="105"/>
      <c r="B319" s="105"/>
      <c r="C319" s="30">
        <v>1</v>
      </c>
      <c r="D319" s="9" t="s">
        <v>1185</v>
      </c>
      <c r="E319" s="105"/>
      <c r="F319" s="46" t="s">
        <v>12</v>
      </c>
      <c r="G319" s="9"/>
    </row>
    <row r="320" spans="1:7">
      <c r="A320" s="106"/>
      <c r="B320" s="106"/>
      <c r="C320" s="30">
        <v>0</v>
      </c>
      <c r="D320" s="9" t="s">
        <v>1186</v>
      </c>
      <c r="E320" s="106"/>
      <c r="F320" s="46" t="s">
        <v>146</v>
      </c>
      <c r="G320" s="9"/>
    </row>
    <row r="321" spans="1:7">
      <c r="A321" s="7">
        <v>184</v>
      </c>
      <c r="B321" s="18" t="str">
        <f t="shared" ref="B321:B328" si="0">DEC2HEX(A321, 2)</f>
        <v>B8</v>
      </c>
      <c r="C321" s="30" t="s">
        <v>18</v>
      </c>
      <c r="D321" s="9" t="s">
        <v>1187</v>
      </c>
      <c r="E321" s="111" t="s">
        <v>27</v>
      </c>
      <c r="F321" s="46" t="s">
        <v>146</v>
      </c>
      <c r="G321" s="9"/>
    </row>
    <row r="322" spans="1:7">
      <c r="A322" s="7">
        <v>185</v>
      </c>
      <c r="B322" s="18" t="str">
        <f t="shared" si="0"/>
        <v>B9</v>
      </c>
      <c r="C322" s="30" t="s">
        <v>18</v>
      </c>
      <c r="D322" s="9" t="s">
        <v>1188</v>
      </c>
      <c r="E322" s="105"/>
      <c r="F322" s="46" t="s">
        <v>146</v>
      </c>
      <c r="G322" s="9"/>
    </row>
    <row r="323" spans="1:7">
      <c r="A323" s="7">
        <v>186</v>
      </c>
      <c r="B323" s="18" t="str">
        <f t="shared" si="0"/>
        <v>BA</v>
      </c>
      <c r="C323" s="30" t="s">
        <v>18</v>
      </c>
      <c r="D323" s="9" t="s">
        <v>1189</v>
      </c>
      <c r="E323" s="105"/>
      <c r="F323" s="46" t="s">
        <v>146</v>
      </c>
      <c r="G323" s="9"/>
    </row>
    <row r="324" spans="1:7">
      <c r="A324" s="7">
        <v>187</v>
      </c>
      <c r="B324" s="18" t="str">
        <f t="shared" si="0"/>
        <v>BB</v>
      </c>
      <c r="C324" s="30" t="s">
        <v>18</v>
      </c>
      <c r="D324" s="9" t="s">
        <v>1190</v>
      </c>
      <c r="E324" s="105"/>
      <c r="F324" s="46" t="s">
        <v>146</v>
      </c>
      <c r="G324" s="9"/>
    </row>
    <row r="325" spans="1:7">
      <c r="A325" s="7">
        <v>188</v>
      </c>
      <c r="B325" s="18" t="str">
        <f t="shared" si="0"/>
        <v>BC</v>
      </c>
      <c r="C325" s="30" t="s">
        <v>18</v>
      </c>
      <c r="D325" s="9" t="s">
        <v>1191</v>
      </c>
      <c r="E325" s="105"/>
      <c r="F325" s="46" t="s">
        <v>146</v>
      </c>
      <c r="G325" s="9"/>
    </row>
    <row r="326" spans="1:7">
      <c r="A326" s="7">
        <v>189</v>
      </c>
      <c r="B326" s="18" t="str">
        <f t="shared" si="0"/>
        <v>BD</v>
      </c>
      <c r="C326" s="30" t="s">
        <v>18</v>
      </c>
      <c r="D326" s="9" t="s">
        <v>1192</v>
      </c>
      <c r="E326" s="105"/>
      <c r="F326" s="46" t="s">
        <v>146</v>
      </c>
      <c r="G326" s="9"/>
    </row>
    <row r="327" spans="1:7">
      <c r="A327" s="7">
        <v>190</v>
      </c>
      <c r="B327" s="18" t="str">
        <f t="shared" si="0"/>
        <v>BE</v>
      </c>
      <c r="C327" s="30" t="s">
        <v>18</v>
      </c>
      <c r="D327" s="9" t="s">
        <v>1193</v>
      </c>
      <c r="E327" s="105"/>
      <c r="F327" s="46" t="s">
        <v>146</v>
      </c>
      <c r="G327" s="9"/>
    </row>
    <row r="328" spans="1:7">
      <c r="A328" s="7">
        <v>191</v>
      </c>
      <c r="B328" s="18" t="str">
        <f t="shared" si="0"/>
        <v>BF</v>
      </c>
      <c r="C328" s="30" t="s">
        <v>18</v>
      </c>
      <c r="D328" s="9" t="s">
        <v>1194</v>
      </c>
      <c r="E328" s="106"/>
      <c r="F328" s="46" t="s">
        <v>146</v>
      </c>
      <c r="G328" s="9"/>
    </row>
    <row r="329" spans="1:7">
      <c r="A329" s="7" t="s">
        <v>1195</v>
      </c>
      <c r="B329" s="18" t="s">
        <v>1196</v>
      </c>
      <c r="C329" s="30" t="s">
        <v>18</v>
      </c>
      <c r="D329" s="9" t="s">
        <v>1197</v>
      </c>
      <c r="E329" s="9"/>
      <c r="F329" s="46" t="s">
        <v>353</v>
      </c>
      <c r="G329" s="9"/>
    </row>
    <row r="330" spans="1:7">
      <c r="A330" s="7" t="s">
        <v>1198</v>
      </c>
      <c r="B330" s="18" t="s">
        <v>1199</v>
      </c>
      <c r="C330" s="30" t="s">
        <v>18</v>
      </c>
      <c r="D330" s="9" t="s">
        <v>1200</v>
      </c>
      <c r="E330" s="9"/>
      <c r="F330" s="46" t="s">
        <v>1201</v>
      </c>
      <c r="G330" s="9"/>
    </row>
    <row r="331" spans="1:7">
      <c r="A331" s="107">
        <v>206</v>
      </c>
      <c r="B331" s="107" t="str">
        <f>DEC2HEX(A331, 2)</f>
        <v>CE</v>
      </c>
      <c r="C331" s="30">
        <v>7</v>
      </c>
      <c r="D331" s="9" t="s">
        <v>1202</v>
      </c>
      <c r="E331" s="111" t="s">
        <v>1142</v>
      </c>
      <c r="F331" s="46" t="s">
        <v>12</v>
      </c>
      <c r="G331" s="9"/>
    </row>
    <row r="332" spans="1:7">
      <c r="A332" s="106"/>
      <c r="B332" s="106"/>
      <c r="C332" s="30" t="s">
        <v>434</v>
      </c>
      <c r="D332" s="9" t="s">
        <v>8</v>
      </c>
      <c r="E332" s="106"/>
      <c r="F332" s="46" t="s">
        <v>436</v>
      </c>
      <c r="G332" s="9"/>
    </row>
    <row r="333" spans="1:7">
      <c r="A333" s="7">
        <v>207</v>
      </c>
      <c r="B333" s="7" t="str">
        <f>DEC2HEX(A333, 2)</f>
        <v>CF</v>
      </c>
      <c r="C333" s="30" t="s">
        <v>18</v>
      </c>
      <c r="D333" s="9" t="s">
        <v>190</v>
      </c>
      <c r="E333" s="9" t="s">
        <v>25</v>
      </c>
      <c r="F333" s="46" t="s">
        <v>146</v>
      </c>
      <c r="G333" s="9"/>
    </row>
    <row r="334" spans="1:7">
      <c r="A334" s="107">
        <v>208</v>
      </c>
      <c r="B334" s="107" t="str">
        <f>DEC2HEX(A334, 2)</f>
        <v>D0</v>
      </c>
      <c r="C334" s="30">
        <v>7</v>
      </c>
      <c r="D334" s="9" t="s">
        <v>1203</v>
      </c>
      <c r="E334" s="111" t="s">
        <v>981</v>
      </c>
      <c r="F334" s="46" t="s">
        <v>12</v>
      </c>
      <c r="G334" s="9"/>
    </row>
    <row r="335" spans="1:7">
      <c r="A335" s="105"/>
      <c r="B335" s="105"/>
      <c r="C335" s="30">
        <v>6</v>
      </c>
      <c r="D335" s="9" t="s">
        <v>1204</v>
      </c>
      <c r="E335" s="105"/>
      <c r="F335" s="46" t="s">
        <v>12</v>
      </c>
      <c r="G335" s="9"/>
    </row>
    <row r="336" spans="1:7">
      <c r="A336" s="105"/>
      <c r="B336" s="105"/>
      <c r="C336" s="30">
        <v>5</v>
      </c>
      <c r="D336" s="9" t="s">
        <v>1205</v>
      </c>
      <c r="E336" s="105"/>
      <c r="F336" s="46" t="s">
        <v>12</v>
      </c>
      <c r="G336" s="9"/>
    </row>
    <row r="337" spans="1:7">
      <c r="A337" s="105"/>
      <c r="B337" s="105"/>
      <c r="C337" s="30">
        <v>4</v>
      </c>
      <c r="D337" s="9" t="s">
        <v>1206</v>
      </c>
      <c r="E337" s="105"/>
      <c r="F337" s="46" t="s">
        <v>12</v>
      </c>
      <c r="G337" s="9"/>
    </row>
    <row r="338" spans="1:7">
      <c r="A338" s="105"/>
      <c r="B338" s="105"/>
      <c r="C338" s="30">
        <v>3</v>
      </c>
      <c r="D338" s="9" t="s">
        <v>1207</v>
      </c>
      <c r="E338" s="105"/>
      <c r="F338" s="46" t="s">
        <v>12</v>
      </c>
      <c r="G338" s="9"/>
    </row>
    <row r="339" spans="1:7">
      <c r="A339" s="105"/>
      <c r="B339" s="105"/>
      <c r="C339" s="30">
        <v>2</v>
      </c>
      <c r="D339" s="9" t="s">
        <v>1208</v>
      </c>
      <c r="E339" s="105"/>
      <c r="F339" s="46" t="s">
        <v>12</v>
      </c>
      <c r="G339" s="9"/>
    </row>
    <row r="340" spans="1:7">
      <c r="A340" s="105"/>
      <c r="B340" s="105"/>
      <c r="C340" s="30">
        <v>1</v>
      </c>
      <c r="D340" s="9" t="s">
        <v>1209</v>
      </c>
      <c r="E340" s="105"/>
      <c r="F340" s="46" t="s">
        <v>12</v>
      </c>
      <c r="G340" s="9"/>
    </row>
    <row r="341" spans="1:7">
      <c r="A341" s="106"/>
      <c r="B341" s="106"/>
      <c r="C341" s="30">
        <v>0</v>
      </c>
      <c r="D341" s="9" t="s">
        <v>1210</v>
      </c>
      <c r="E341" s="106"/>
      <c r="F341" s="46" t="s">
        <v>146</v>
      </c>
      <c r="G341" s="9"/>
    </row>
    <row r="342" spans="1:7">
      <c r="A342" s="107">
        <v>209</v>
      </c>
      <c r="B342" s="107" t="str">
        <f>DEC2HEX(A342, 2)</f>
        <v>D1</v>
      </c>
      <c r="C342" s="30">
        <v>7</v>
      </c>
      <c r="D342" s="9" t="s">
        <v>1211</v>
      </c>
      <c r="E342" s="111" t="s">
        <v>981</v>
      </c>
      <c r="F342" s="46" t="s">
        <v>12</v>
      </c>
      <c r="G342" s="9"/>
    </row>
    <row r="343" spans="1:7">
      <c r="A343" s="105"/>
      <c r="B343" s="105"/>
      <c r="C343" s="30">
        <v>6</v>
      </c>
      <c r="D343" s="9" t="s">
        <v>1212</v>
      </c>
      <c r="E343" s="105"/>
      <c r="F343" s="46" t="s">
        <v>12</v>
      </c>
      <c r="G343" s="9"/>
    </row>
    <row r="344" spans="1:7">
      <c r="A344" s="105"/>
      <c r="B344" s="105"/>
      <c r="C344" s="30">
        <v>5</v>
      </c>
      <c r="D344" s="9" t="s">
        <v>1213</v>
      </c>
      <c r="E344" s="105"/>
      <c r="F344" s="46" t="s">
        <v>12</v>
      </c>
      <c r="G344" s="9"/>
    </row>
    <row r="345" spans="1:7">
      <c r="A345" s="105"/>
      <c r="B345" s="105"/>
      <c r="C345" s="30">
        <v>4</v>
      </c>
      <c r="D345" s="9" t="s">
        <v>1214</v>
      </c>
      <c r="E345" s="105"/>
      <c r="F345" s="46" t="s">
        <v>12</v>
      </c>
      <c r="G345" s="9"/>
    </row>
    <row r="346" spans="1:7">
      <c r="A346" s="105"/>
      <c r="B346" s="105"/>
      <c r="C346" s="30">
        <v>3</v>
      </c>
      <c r="D346" s="9" t="s">
        <v>1215</v>
      </c>
      <c r="E346" s="105"/>
      <c r="F346" s="46" t="s">
        <v>12</v>
      </c>
      <c r="G346" s="9"/>
    </row>
    <row r="347" spans="1:7">
      <c r="A347" s="105"/>
      <c r="B347" s="105"/>
      <c r="C347" s="30">
        <v>2</v>
      </c>
      <c r="D347" s="9" t="s">
        <v>1216</v>
      </c>
      <c r="E347" s="105"/>
      <c r="F347" s="46" t="s">
        <v>12</v>
      </c>
      <c r="G347" s="9"/>
    </row>
    <row r="348" spans="1:7">
      <c r="A348" s="105"/>
      <c r="B348" s="105"/>
      <c r="C348" s="30">
        <v>1</v>
      </c>
      <c r="D348" s="9" t="s">
        <v>1217</v>
      </c>
      <c r="E348" s="105"/>
      <c r="F348" s="46" t="s">
        <v>12</v>
      </c>
      <c r="G348" s="9"/>
    </row>
    <row r="349" spans="1:7">
      <c r="A349" s="106"/>
      <c r="B349" s="106"/>
      <c r="C349" s="30">
        <v>0</v>
      </c>
      <c r="D349" s="9" t="s">
        <v>1218</v>
      </c>
      <c r="E349" s="106"/>
      <c r="F349" s="46" t="s">
        <v>146</v>
      </c>
      <c r="G349" s="9"/>
    </row>
    <row r="350" spans="1:7">
      <c r="A350" s="107">
        <v>210</v>
      </c>
      <c r="B350" s="107" t="str">
        <f>DEC2HEX(A350, 2)</f>
        <v>D2</v>
      </c>
      <c r="C350" s="30">
        <v>7</v>
      </c>
      <c r="D350" s="9" t="s">
        <v>1219</v>
      </c>
      <c r="E350" s="111" t="s">
        <v>981</v>
      </c>
      <c r="F350" s="46" t="s">
        <v>12</v>
      </c>
      <c r="G350" s="9"/>
    </row>
    <row r="351" spans="1:7">
      <c r="A351" s="105"/>
      <c r="B351" s="105"/>
      <c r="C351" s="30">
        <v>6</v>
      </c>
      <c r="D351" s="9" t="s">
        <v>1220</v>
      </c>
      <c r="E351" s="105"/>
      <c r="F351" s="46" t="s">
        <v>12</v>
      </c>
      <c r="G351" s="9"/>
    </row>
    <row r="352" spans="1:7">
      <c r="A352" s="105"/>
      <c r="B352" s="105"/>
      <c r="C352" s="30">
        <v>5</v>
      </c>
      <c r="D352" s="9" t="s">
        <v>1221</v>
      </c>
      <c r="E352" s="105"/>
      <c r="F352" s="46" t="s">
        <v>12</v>
      </c>
      <c r="G352" s="9"/>
    </row>
    <row r="353" spans="1:7">
      <c r="A353" s="105"/>
      <c r="B353" s="105"/>
      <c r="C353" s="30">
        <v>4</v>
      </c>
      <c r="D353" s="9" t="s">
        <v>1222</v>
      </c>
      <c r="E353" s="105"/>
      <c r="F353" s="46" t="s">
        <v>12</v>
      </c>
      <c r="G353" s="9"/>
    </row>
    <row r="354" spans="1:7">
      <c r="A354" s="105"/>
      <c r="B354" s="105"/>
      <c r="C354" s="30">
        <v>3</v>
      </c>
      <c r="D354" s="9" t="s">
        <v>1223</v>
      </c>
      <c r="E354" s="105"/>
      <c r="F354" s="46" t="s">
        <v>12</v>
      </c>
      <c r="G354" s="9"/>
    </row>
    <row r="355" spans="1:7">
      <c r="A355" s="105"/>
      <c r="B355" s="105"/>
      <c r="C355" s="30">
        <v>2</v>
      </c>
      <c r="D355" s="9" t="s">
        <v>1224</v>
      </c>
      <c r="E355" s="105"/>
      <c r="F355" s="46" t="s">
        <v>12</v>
      </c>
      <c r="G355" s="9"/>
    </row>
    <row r="356" spans="1:7">
      <c r="A356" s="105"/>
      <c r="B356" s="105"/>
      <c r="C356" s="30">
        <v>1</v>
      </c>
      <c r="D356" s="9" t="s">
        <v>1225</v>
      </c>
      <c r="E356" s="105"/>
      <c r="F356" s="46" t="s">
        <v>12</v>
      </c>
      <c r="G356" s="9"/>
    </row>
    <row r="357" spans="1:7">
      <c r="A357" s="106"/>
      <c r="B357" s="106"/>
      <c r="C357" s="30">
        <v>0</v>
      </c>
      <c r="D357" s="9" t="s">
        <v>1226</v>
      </c>
      <c r="E357" s="106"/>
      <c r="F357" s="46" t="s">
        <v>146</v>
      </c>
      <c r="G357" s="9"/>
    </row>
    <row r="358" spans="1:7">
      <c r="A358" s="107">
        <v>211</v>
      </c>
      <c r="B358" s="107" t="str">
        <f>DEC2HEX(A358, 2)</f>
        <v>D3</v>
      </c>
      <c r="C358" s="30">
        <v>7</v>
      </c>
      <c r="D358" s="9" t="s">
        <v>1227</v>
      </c>
      <c r="E358" s="111" t="s">
        <v>981</v>
      </c>
      <c r="F358" s="46" t="s">
        <v>12</v>
      </c>
      <c r="G358" s="9"/>
    </row>
    <row r="359" spans="1:7">
      <c r="A359" s="105"/>
      <c r="B359" s="105"/>
      <c r="C359" s="30">
        <v>6</v>
      </c>
      <c r="D359" s="9" t="s">
        <v>1228</v>
      </c>
      <c r="E359" s="105"/>
      <c r="F359" s="46" t="s">
        <v>12</v>
      </c>
      <c r="G359" s="9"/>
    </row>
    <row r="360" spans="1:7">
      <c r="A360" s="105"/>
      <c r="B360" s="105"/>
      <c r="C360" s="30">
        <v>5</v>
      </c>
      <c r="D360" s="9" t="s">
        <v>1229</v>
      </c>
      <c r="E360" s="105"/>
      <c r="F360" s="46" t="s">
        <v>12</v>
      </c>
      <c r="G360" s="9"/>
    </row>
    <row r="361" spans="1:7">
      <c r="A361" s="105"/>
      <c r="B361" s="105"/>
      <c r="C361" s="30">
        <v>4</v>
      </c>
      <c r="D361" s="9" t="s">
        <v>1230</v>
      </c>
      <c r="E361" s="105"/>
      <c r="F361" s="46" t="s">
        <v>12</v>
      </c>
      <c r="G361" s="9"/>
    </row>
    <row r="362" spans="1:7">
      <c r="A362" s="105"/>
      <c r="B362" s="105"/>
      <c r="C362" s="30">
        <v>3</v>
      </c>
      <c r="D362" s="9" t="s">
        <v>1231</v>
      </c>
      <c r="E362" s="105"/>
      <c r="F362" s="46" t="s">
        <v>12</v>
      </c>
      <c r="G362" s="9"/>
    </row>
    <row r="363" spans="1:7">
      <c r="A363" s="105"/>
      <c r="B363" s="105"/>
      <c r="C363" s="30">
        <v>2</v>
      </c>
      <c r="D363" s="9" t="s">
        <v>1232</v>
      </c>
      <c r="E363" s="105"/>
      <c r="F363" s="46" t="s">
        <v>12</v>
      </c>
      <c r="G363" s="9"/>
    </row>
    <row r="364" spans="1:7">
      <c r="A364" s="105"/>
      <c r="B364" s="105"/>
      <c r="C364" s="30">
        <v>1</v>
      </c>
      <c r="D364" s="9" t="s">
        <v>1233</v>
      </c>
      <c r="E364" s="105"/>
      <c r="F364" s="46" t="s">
        <v>12</v>
      </c>
      <c r="G364" s="9"/>
    </row>
    <row r="365" spans="1:7">
      <c r="A365" s="106"/>
      <c r="B365" s="106"/>
      <c r="C365" s="30">
        <v>0</v>
      </c>
      <c r="D365" s="9" t="s">
        <v>1234</v>
      </c>
      <c r="E365" s="106"/>
      <c r="F365" s="46" t="s">
        <v>146</v>
      </c>
      <c r="G365" s="9"/>
    </row>
    <row r="366" spans="1:7">
      <c r="A366" s="107">
        <v>212</v>
      </c>
      <c r="B366" s="107" t="str">
        <f>DEC2HEX(A366, 2)</f>
        <v>D4</v>
      </c>
      <c r="C366" s="30">
        <v>7</v>
      </c>
      <c r="D366" s="9" t="s">
        <v>1235</v>
      </c>
      <c r="E366" s="111" t="s">
        <v>981</v>
      </c>
      <c r="F366" s="46" t="s">
        <v>12</v>
      </c>
      <c r="G366" s="9"/>
    </row>
    <row r="367" spans="1:7">
      <c r="A367" s="105"/>
      <c r="B367" s="105"/>
      <c r="C367" s="30">
        <v>6</v>
      </c>
      <c r="D367" s="9" t="s">
        <v>1236</v>
      </c>
      <c r="E367" s="105"/>
      <c r="F367" s="46" t="s">
        <v>12</v>
      </c>
      <c r="G367" s="9"/>
    </row>
    <row r="368" spans="1:7">
      <c r="A368" s="105"/>
      <c r="B368" s="105"/>
      <c r="C368" s="30">
        <v>5</v>
      </c>
      <c r="D368" s="9" t="s">
        <v>1237</v>
      </c>
      <c r="E368" s="105"/>
      <c r="F368" s="46" t="s">
        <v>12</v>
      </c>
      <c r="G368" s="9"/>
    </row>
    <row r="369" spans="1:7">
      <c r="A369" s="105"/>
      <c r="B369" s="105"/>
      <c r="C369" s="30">
        <v>4</v>
      </c>
      <c r="D369" s="9" t="s">
        <v>1238</v>
      </c>
      <c r="E369" s="105"/>
      <c r="F369" s="46" t="s">
        <v>12</v>
      </c>
      <c r="G369" s="9"/>
    </row>
    <row r="370" spans="1:7">
      <c r="A370" s="105"/>
      <c r="B370" s="105"/>
      <c r="C370" s="30">
        <v>3</v>
      </c>
      <c r="D370" s="9" t="s">
        <v>1239</v>
      </c>
      <c r="E370" s="105"/>
      <c r="F370" s="46" t="s">
        <v>12</v>
      </c>
      <c r="G370" s="9"/>
    </row>
    <row r="371" spans="1:7">
      <c r="A371" s="105"/>
      <c r="B371" s="105"/>
      <c r="C371" s="30">
        <v>2</v>
      </c>
      <c r="D371" s="9" t="s">
        <v>1240</v>
      </c>
      <c r="E371" s="105"/>
      <c r="F371" s="46" t="s">
        <v>12</v>
      </c>
      <c r="G371" s="9"/>
    </row>
    <row r="372" spans="1:7">
      <c r="A372" s="105"/>
      <c r="B372" s="105"/>
      <c r="C372" s="30">
        <v>1</v>
      </c>
      <c r="D372" s="9" t="s">
        <v>1241</v>
      </c>
      <c r="E372" s="105"/>
      <c r="F372" s="46" t="s">
        <v>12</v>
      </c>
      <c r="G372" s="9"/>
    </row>
    <row r="373" spans="1:7">
      <c r="A373" s="106"/>
      <c r="B373" s="106"/>
      <c r="C373" s="30">
        <v>0</v>
      </c>
      <c r="D373" s="9" t="s">
        <v>1242</v>
      </c>
      <c r="E373" s="106"/>
      <c r="F373" s="46" t="s">
        <v>146</v>
      </c>
      <c r="G373" s="9"/>
    </row>
    <row r="374" spans="1:7">
      <c r="A374" s="107">
        <v>213</v>
      </c>
      <c r="B374" s="107" t="str">
        <f>DEC2HEX(A374, 2)</f>
        <v>D5</v>
      </c>
      <c r="C374" s="30">
        <v>7</v>
      </c>
      <c r="D374" s="9" t="s">
        <v>1243</v>
      </c>
      <c r="E374" s="111" t="s">
        <v>981</v>
      </c>
      <c r="F374" s="46" t="s">
        <v>12</v>
      </c>
      <c r="G374" s="9"/>
    </row>
    <row r="375" spans="1:7">
      <c r="A375" s="105"/>
      <c r="B375" s="105"/>
      <c r="C375" s="30">
        <v>6</v>
      </c>
      <c r="D375" s="9" t="s">
        <v>1244</v>
      </c>
      <c r="E375" s="105"/>
      <c r="F375" s="46" t="s">
        <v>12</v>
      </c>
      <c r="G375" s="9"/>
    </row>
    <row r="376" spans="1:7">
      <c r="A376" s="105"/>
      <c r="B376" s="105"/>
      <c r="C376" s="30">
        <v>5</v>
      </c>
      <c r="D376" s="9" t="s">
        <v>1245</v>
      </c>
      <c r="E376" s="105"/>
      <c r="F376" s="46" t="s">
        <v>12</v>
      </c>
      <c r="G376" s="9"/>
    </row>
    <row r="377" spans="1:7">
      <c r="A377" s="105"/>
      <c r="B377" s="105"/>
      <c r="C377" s="30">
        <v>4</v>
      </c>
      <c r="D377" s="9" t="s">
        <v>1246</v>
      </c>
      <c r="E377" s="105"/>
      <c r="F377" s="46" t="s">
        <v>12</v>
      </c>
      <c r="G377" s="9"/>
    </row>
    <row r="378" spans="1:7">
      <c r="A378" s="105"/>
      <c r="B378" s="105"/>
      <c r="C378" s="30">
        <v>3</v>
      </c>
      <c r="D378" s="9" t="s">
        <v>1247</v>
      </c>
      <c r="E378" s="105"/>
      <c r="F378" s="46" t="s">
        <v>12</v>
      </c>
      <c r="G378" s="9"/>
    </row>
    <row r="379" spans="1:7">
      <c r="A379" s="105"/>
      <c r="B379" s="105"/>
      <c r="C379" s="30">
        <v>2</v>
      </c>
      <c r="D379" s="9" t="s">
        <v>1248</v>
      </c>
      <c r="E379" s="105"/>
      <c r="F379" s="46" t="s">
        <v>12</v>
      </c>
      <c r="G379" s="9"/>
    </row>
    <row r="380" spans="1:7">
      <c r="A380" s="105"/>
      <c r="B380" s="105"/>
      <c r="C380" s="30">
        <v>1</v>
      </c>
      <c r="D380" s="9" t="s">
        <v>1249</v>
      </c>
      <c r="E380" s="105"/>
      <c r="F380" s="46" t="s">
        <v>12</v>
      </c>
      <c r="G380" s="9"/>
    </row>
    <row r="381" spans="1:7">
      <c r="A381" s="106"/>
      <c r="B381" s="106"/>
      <c r="C381" s="30">
        <v>0</v>
      </c>
      <c r="D381" s="9" t="s">
        <v>1250</v>
      </c>
      <c r="E381" s="106"/>
      <c r="F381" s="46" t="s">
        <v>146</v>
      </c>
      <c r="G381" s="9"/>
    </row>
    <row r="382" spans="1:7">
      <c r="A382" s="7" t="s">
        <v>1251</v>
      </c>
      <c r="B382" s="18" t="s">
        <v>1252</v>
      </c>
      <c r="C382" s="30" t="s">
        <v>18</v>
      </c>
      <c r="D382" s="9" t="s">
        <v>1253</v>
      </c>
      <c r="E382" s="9" t="s">
        <v>25</v>
      </c>
      <c r="F382" s="46" t="s">
        <v>1201</v>
      </c>
      <c r="G382" s="9"/>
    </row>
    <row r="383" spans="1:7">
      <c r="A383" s="7">
        <v>224</v>
      </c>
      <c r="B383" s="18" t="str">
        <f t="shared" ref="B383:B414" si="1">DEC2HEX(A383, 2)</f>
        <v>E0</v>
      </c>
      <c r="C383" s="30" t="s">
        <v>18</v>
      </c>
      <c r="D383" s="112" t="s">
        <v>1254</v>
      </c>
      <c r="E383" s="9" t="s">
        <v>25</v>
      </c>
      <c r="F383" s="46" t="s">
        <v>146</v>
      </c>
      <c r="G383" s="9"/>
    </row>
    <row r="384" spans="1:7">
      <c r="A384" s="7">
        <v>225</v>
      </c>
      <c r="B384" s="18" t="str">
        <f t="shared" si="1"/>
        <v>E1</v>
      </c>
      <c r="C384" s="30" t="s">
        <v>18</v>
      </c>
      <c r="D384" s="105"/>
      <c r="E384" s="9" t="s">
        <v>25</v>
      </c>
      <c r="F384" s="46" t="s">
        <v>146</v>
      </c>
      <c r="G384" s="9"/>
    </row>
    <row r="385" spans="1:7">
      <c r="A385" s="7">
        <v>226</v>
      </c>
      <c r="B385" s="18" t="str">
        <f t="shared" si="1"/>
        <v>E2</v>
      </c>
      <c r="C385" s="30" t="s">
        <v>18</v>
      </c>
      <c r="D385" s="105"/>
      <c r="E385" s="9" t="s">
        <v>25</v>
      </c>
      <c r="F385" s="46" t="s">
        <v>146</v>
      </c>
      <c r="G385" s="9"/>
    </row>
    <row r="386" spans="1:7">
      <c r="A386" s="7">
        <v>227</v>
      </c>
      <c r="B386" s="18" t="str">
        <f t="shared" si="1"/>
        <v>E3</v>
      </c>
      <c r="C386" s="30" t="s">
        <v>18</v>
      </c>
      <c r="D386" s="105"/>
      <c r="E386" s="9" t="s">
        <v>25</v>
      </c>
      <c r="F386" s="46" t="s">
        <v>146</v>
      </c>
      <c r="G386" s="9"/>
    </row>
    <row r="387" spans="1:7">
      <c r="A387" s="7">
        <v>228</v>
      </c>
      <c r="B387" s="18" t="str">
        <f t="shared" si="1"/>
        <v>E4</v>
      </c>
      <c r="C387" s="30" t="s">
        <v>18</v>
      </c>
      <c r="D387" s="105"/>
      <c r="E387" s="9" t="s">
        <v>25</v>
      </c>
      <c r="F387" s="46" t="s">
        <v>146</v>
      </c>
      <c r="G387" s="9"/>
    </row>
    <row r="388" spans="1:7">
      <c r="A388" s="7">
        <v>229</v>
      </c>
      <c r="B388" s="18" t="str">
        <f t="shared" si="1"/>
        <v>E5</v>
      </c>
      <c r="C388" s="30" t="s">
        <v>18</v>
      </c>
      <c r="D388" s="105"/>
      <c r="E388" s="9" t="s">
        <v>25</v>
      </c>
      <c r="F388" s="46" t="s">
        <v>146</v>
      </c>
      <c r="G388" s="9"/>
    </row>
    <row r="389" spans="1:7">
      <c r="A389" s="7">
        <v>230</v>
      </c>
      <c r="B389" s="18" t="str">
        <f t="shared" si="1"/>
        <v>E6</v>
      </c>
      <c r="C389" s="30" t="s">
        <v>18</v>
      </c>
      <c r="D389" s="105"/>
      <c r="E389" s="9" t="s">
        <v>25</v>
      </c>
      <c r="F389" s="46" t="s">
        <v>146</v>
      </c>
      <c r="G389" s="9"/>
    </row>
    <row r="390" spans="1:7">
      <c r="A390" s="7">
        <v>231</v>
      </c>
      <c r="B390" s="18" t="str">
        <f t="shared" si="1"/>
        <v>E7</v>
      </c>
      <c r="C390" s="30" t="s">
        <v>18</v>
      </c>
      <c r="D390" s="105"/>
      <c r="E390" s="9" t="s">
        <v>25</v>
      </c>
      <c r="F390" s="46" t="s">
        <v>146</v>
      </c>
      <c r="G390" s="9"/>
    </row>
    <row r="391" spans="1:7">
      <c r="A391" s="7">
        <v>232</v>
      </c>
      <c r="B391" s="18" t="str">
        <f t="shared" si="1"/>
        <v>E8</v>
      </c>
      <c r="C391" s="30" t="s">
        <v>18</v>
      </c>
      <c r="D391" s="105"/>
      <c r="E391" s="9" t="s">
        <v>25</v>
      </c>
      <c r="F391" s="46" t="s">
        <v>146</v>
      </c>
      <c r="G391" s="9"/>
    </row>
    <row r="392" spans="1:7">
      <c r="A392" s="7">
        <v>233</v>
      </c>
      <c r="B392" s="18" t="str">
        <f t="shared" si="1"/>
        <v>E9</v>
      </c>
      <c r="C392" s="30" t="s">
        <v>18</v>
      </c>
      <c r="D392" s="105"/>
      <c r="E392" s="9" t="s">
        <v>25</v>
      </c>
      <c r="F392" s="46" t="s">
        <v>146</v>
      </c>
      <c r="G392" s="9"/>
    </row>
    <row r="393" spans="1:7">
      <c r="A393" s="7">
        <v>234</v>
      </c>
      <c r="B393" s="18" t="str">
        <f t="shared" si="1"/>
        <v>EA</v>
      </c>
      <c r="C393" s="30" t="s">
        <v>18</v>
      </c>
      <c r="D393" s="105"/>
      <c r="E393" s="9" t="s">
        <v>25</v>
      </c>
      <c r="F393" s="46" t="s">
        <v>146</v>
      </c>
      <c r="G393" s="9"/>
    </row>
    <row r="394" spans="1:7">
      <c r="A394" s="7">
        <v>235</v>
      </c>
      <c r="B394" s="18" t="str">
        <f t="shared" si="1"/>
        <v>EB</v>
      </c>
      <c r="C394" s="30" t="s">
        <v>18</v>
      </c>
      <c r="D394" s="105"/>
      <c r="E394" s="9" t="s">
        <v>25</v>
      </c>
      <c r="F394" s="46" t="s">
        <v>146</v>
      </c>
      <c r="G394" s="9"/>
    </row>
    <row r="395" spans="1:7">
      <c r="A395" s="7">
        <v>236</v>
      </c>
      <c r="B395" s="18" t="str">
        <f t="shared" si="1"/>
        <v>EC</v>
      </c>
      <c r="C395" s="30" t="s">
        <v>18</v>
      </c>
      <c r="D395" s="105"/>
      <c r="E395" s="9" t="s">
        <v>25</v>
      </c>
      <c r="F395" s="46" t="s">
        <v>146</v>
      </c>
      <c r="G395" s="9"/>
    </row>
    <row r="396" spans="1:7">
      <c r="A396" s="7">
        <v>237</v>
      </c>
      <c r="B396" s="18" t="str">
        <f t="shared" si="1"/>
        <v>ED</v>
      </c>
      <c r="C396" s="30" t="s">
        <v>18</v>
      </c>
      <c r="D396" s="105"/>
      <c r="E396" s="9" t="s">
        <v>25</v>
      </c>
      <c r="F396" s="46" t="s">
        <v>146</v>
      </c>
      <c r="G396" s="9"/>
    </row>
    <row r="397" spans="1:7">
      <c r="A397" s="7">
        <v>238</v>
      </c>
      <c r="B397" s="18" t="str">
        <f t="shared" si="1"/>
        <v>EE</v>
      </c>
      <c r="C397" s="30" t="s">
        <v>18</v>
      </c>
      <c r="D397" s="105"/>
      <c r="E397" s="9" t="s">
        <v>25</v>
      </c>
      <c r="F397" s="46" t="s">
        <v>146</v>
      </c>
      <c r="G397" s="9"/>
    </row>
    <row r="398" spans="1:7">
      <c r="A398" s="7">
        <v>239</v>
      </c>
      <c r="B398" s="18" t="str">
        <f t="shared" si="1"/>
        <v>EF</v>
      </c>
      <c r="C398" s="30" t="s">
        <v>18</v>
      </c>
      <c r="D398" s="105"/>
      <c r="E398" s="9" t="s">
        <v>25</v>
      </c>
      <c r="F398" s="46" t="s">
        <v>146</v>
      </c>
      <c r="G398" s="9"/>
    </row>
    <row r="399" spans="1:7">
      <c r="A399" s="7">
        <v>240</v>
      </c>
      <c r="B399" s="18" t="str">
        <f t="shared" si="1"/>
        <v>F0</v>
      </c>
      <c r="C399" s="30" t="s">
        <v>18</v>
      </c>
      <c r="D399" s="105"/>
      <c r="E399" s="9" t="s">
        <v>25</v>
      </c>
      <c r="F399" s="46" t="s">
        <v>146</v>
      </c>
      <c r="G399" s="9"/>
    </row>
    <row r="400" spans="1:7">
      <c r="A400" s="7">
        <v>241</v>
      </c>
      <c r="B400" s="18" t="str">
        <f t="shared" si="1"/>
        <v>F1</v>
      </c>
      <c r="C400" s="30" t="s">
        <v>18</v>
      </c>
      <c r="D400" s="105"/>
      <c r="E400" s="9" t="s">
        <v>25</v>
      </c>
      <c r="F400" s="46" t="s">
        <v>146</v>
      </c>
      <c r="G400" s="9"/>
    </row>
    <row r="401" spans="1:7">
      <c r="A401" s="7">
        <v>242</v>
      </c>
      <c r="B401" s="18" t="str">
        <f t="shared" si="1"/>
        <v>F2</v>
      </c>
      <c r="C401" s="30" t="s">
        <v>18</v>
      </c>
      <c r="D401" s="105"/>
      <c r="E401" s="9" t="s">
        <v>25</v>
      </c>
      <c r="F401" s="46" t="s">
        <v>146</v>
      </c>
      <c r="G401" s="9"/>
    </row>
    <row r="402" spans="1:7">
      <c r="A402" s="7">
        <v>243</v>
      </c>
      <c r="B402" s="18" t="str">
        <f t="shared" si="1"/>
        <v>F3</v>
      </c>
      <c r="C402" s="30" t="s">
        <v>18</v>
      </c>
      <c r="D402" s="105"/>
      <c r="E402" s="9" t="s">
        <v>25</v>
      </c>
      <c r="F402" s="46" t="s">
        <v>146</v>
      </c>
      <c r="G402" s="9"/>
    </row>
    <row r="403" spans="1:7">
      <c r="A403" s="7">
        <v>244</v>
      </c>
      <c r="B403" s="18" t="str">
        <f t="shared" si="1"/>
        <v>F4</v>
      </c>
      <c r="C403" s="30" t="s">
        <v>18</v>
      </c>
      <c r="D403" s="105"/>
      <c r="E403" s="9" t="s">
        <v>25</v>
      </c>
      <c r="F403" s="46" t="s">
        <v>146</v>
      </c>
      <c r="G403" s="9"/>
    </row>
    <row r="404" spans="1:7">
      <c r="A404" s="7">
        <v>245</v>
      </c>
      <c r="B404" s="18" t="str">
        <f t="shared" si="1"/>
        <v>F5</v>
      </c>
      <c r="C404" s="30" t="s">
        <v>18</v>
      </c>
      <c r="D404" s="105"/>
      <c r="E404" s="9" t="s">
        <v>25</v>
      </c>
      <c r="F404" s="46" t="s">
        <v>146</v>
      </c>
      <c r="G404" s="9"/>
    </row>
    <row r="405" spans="1:7">
      <c r="A405" s="7">
        <v>246</v>
      </c>
      <c r="B405" s="18" t="str">
        <f t="shared" si="1"/>
        <v>F6</v>
      </c>
      <c r="C405" s="30" t="s">
        <v>18</v>
      </c>
      <c r="D405" s="105"/>
      <c r="E405" s="9" t="s">
        <v>25</v>
      </c>
      <c r="F405" s="46" t="s">
        <v>146</v>
      </c>
      <c r="G405" s="9"/>
    </row>
    <row r="406" spans="1:7">
      <c r="A406" s="7">
        <v>247</v>
      </c>
      <c r="B406" s="18" t="str">
        <f t="shared" si="1"/>
        <v>F7</v>
      </c>
      <c r="C406" s="30" t="s">
        <v>18</v>
      </c>
      <c r="D406" s="105"/>
      <c r="E406" s="9" t="s">
        <v>25</v>
      </c>
      <c r="F406" s="46" t="s">
        <v>146</v>
      </c>
      <c r="G406" s="9"/>
    </row>
    <row r="407" spans="1:7">
      <c r="A407" s="7">
        <v>248</v>
      </c>
      <c r="B407" s="18" t="str">
        <f t="shared" si="1"/>
        <v>F8</v>
      </c>
      <c r="C407" s="30" t="s">
        <v>18</v>
      </c>
      <c r="D407" s="105"/>
      <c r="E407" s="9" t="s">
        <v>25</v>
      </c>
      <c r="F407" s="46" t="s">
        <v>146</v>
      </c>
      <c r="G407" s="9"/>
    </row>
    <row r="408" spans="1:7">
      <c r="A408" s="7">
        <v>249</v>
      </c>
      <c r="B408" s="18" t="str">
        <f t="shared" si="1"/>
        <v>F9</v>
      </c>
      <c r="C408" s="30" t="s">
        <v>18</v>
      </c>
      <c r="D408" s="105"/>
      <c r="E408" s="9" t="s">
        <v>25</v>
      </c>
      <c r="F408" s="46" t="s">
        <v>146</v>
      </c>
      <c r="G408" s="9"/>
    </row>
    <row r="409" spans="1:7">
      <c r="A409" s="7">
        <v>250</v>
      </c>
      <c r="B409" s="18" t="str">
        <f t="shared" si="1"/>
        <v>FA</v>
      </c>
      <c r="C409" s="30" t="s">
        <v>18</v>
      </c>
      <c r="D409" s="105"/>
      <c r="E409" s="9" t="s">
        <v>25</v>
      </c>
      <c r="F409" s="46" t="s">
        <v>146</v>
      </c>
      <c r="G409" s="9"/>
    </row>
    <row r="410" spans="1:7">
      <c r="A410" s="7">
        <v>251</v>
      </c>
      <c r="B410" s="18" t="str">
        <f t="shared" si="1"/>
        <v>FB</v>
      </c>
      <c r="C410" s="30" t="s">
        <v>18</v>
      </c>
      <c r="D410" s="105"/>
      <c r="E410" s="9" t="s">
        <v>25</v>
      </c>
      <c r="F410" s="46" t="s">
        <v>146</v>
      </c>
      <c r="G410" s="9"/>
    </row>
    <row r="411" spans="1:7">
      <c r="A411" s="7">
        <v>252</v>
      </c>
      <c r="B411" s="18" t="str">
        <f t="shared" si="1"/>
        <v>FC</v>
      </c>
      <c r="C411" s="30" t="s">
        <v>18</v>
      </c>
      <c r="D411" s="105"/>
      <c r="E411" s="9" t="s">
        <v>25</v>
      </c>
      <c r="F411" s="46" t="s">
        <v>146</v>
      </c>
      <c r="G411" s="9"/>
    </row>
    <row r="412" spans="1:7">
      <c r="A412" s="7">
        <v>253</v>
      </c>
      <c r="B412" s="18" t="str">
        <f t="shared" si="1"/>
        <v>FD</v>
      </c>
      <c r="C412" s="30" t="s">
        <v>18</v>
      </c>
      <c r="D412" s="105"/>
      <c r="E412" s="9" t="s">
        <v>25</v>
      </c>
      <c r="F412" s="46" t="s">
        <v>146</v>
      </c>
      <c r="G412" s="9"/>
    </row>
    <row r="413" spans="1:7">
      <c r="A413" s="7">
        <v>254</v>
      </c>
      <c r="B413" s="18" t="str">
        <f t="shared" si="1"/>
        <v>FE</v>
      </c>
      <c r="C413" s="30" t="s">
        <v>18</v>
      </c>
      <c r="D413" s="105"/>
      <c r="E413" s="9" t="s">
        <v>25</v>
      </c>
      <c r="F413" s="46" t="s">
        <v>146</v>
      </c>
      <c r="G413" s="9"/>
    </row>
    <row r="414" spans="1:7">
      <c r="A414" s="7">
        <v>255</v>
      </c>
      <c r="B414" s="18" t="str">
        <f t="shared" si="1"/>
        <v>FF</v>
      </c>
      <c r="C414" s="30" t="s">
        <v>18</v>
      </c>
      <c r="D414" s="106"/>
      <c r="E414" s="9" t="s">
        <v>25</v>
      </c>
      <c r="F414" s="46" t="s">
        <v>146</v>
      </c>
      <c r="G414" s="9"/>
    </row>
  </sheetData>
  <mergeCells count="173">
    <mergeCell ref="A2:A9"/>
    <mergeCell ref="B40:B47"/>
    <mergeCell ref="E237:E244"/>
    <mergeCell ref="A96:A99"/>
    <mergeCell ref="A100:A107"/>
    <mergeCell ref="A253:A260"/>
    <mergeCell ref="E2:E9"/>
    <mergeCell ref="B271:B272"/>
    <mergeCell ref="A165:A172"/>
    <mergeCell ref="B24:B31"/>
    <mergeCell ref="B80:B87"/>
    <mergeCell ref="A141:A148"/>
    <mergeCell ref="D383:D414"/>
    <mergeCell ref="B191:B192"/>
    <mergeCell ref="A277:A278"/>
    <mergeCell ref="A189:A190"/>
    <mergeCell ref="A88:A95"/>
    <mergeCell ref="E64:E71"/>
    <mergeCell ref="E10:E15"/>
    <mergeCell ref="B117:B124"/>
    <mergeCell ref="E88:E95"/>
    <mergeCell ref="A366:A373"/>
    <mergeCell ref="E40:E47"/>
    <mergeCell ref="A305:A312"/>
    <mergeCell ref="B48:B55"/>
    <mergeCell ref="A16:A23"/>
    <mergeCell ref="A56:A63"/>
    <mergeCell ref="E245:E252"/>
    <mergeCell ref="A231:A232"/>
    <mergeCell ref="E261:E268"/>
    <mergeCell ref="E173:E180"/>
    <mergeCell ref="A313:A320"/>
    <mergeCell ref="E366:E373"/>
    <mergeCell ref="B189:B190"/>
    <mergeCell ref="A374:A381"/>
    <mergeCell ref="A181:A188"/>
    <mergeCell ref="B10:B15"/>
    <mergeCell ref="A133:A140"/>
    <mergeCell ref="E350:E357"/>
    <mergeCell ref="B269:B270"/>
    <mergeCell ref="A213:A220"/>
    <mergeCell ref="A155:A156"/>
    <mergeCell ref="E334:E341"/>
    <mergeCell ref="B193:B194"/>
    <mergeCell ref="E96:E99"/>
    <mergeCell ref="E100:E107"/>
    <mergeCell ref="B197:B204"/>
    <mergeCell ref="A285:A287"/>
    <mergeCell ref="B149:B150"/>
    <mergeCell ref="E313:E320"/>
    <mergeCell ref="A275:A276"/>
    <mergeCell ref="E125:E132"/>
    <mergeCell ref="A48:A55"/>
    <mergeCell ref="E72:E79"/>
    <mergeCell ref="B261:B268"/>
    <mergeCell ref="E297:E304"/>
    <mergeCell ref="A289:A296"/>
    <mergeCell ref="A125:A132"/>
    <mergeCell ref="E197:E204"/>
    <mergeCell ref="B313:B320"/>
    <mergeCell ref="A24:A31"/>
    <mergeCell ref="B195:B196"/>
    <mergeCell ref="B141:B148"/>
    <mergeCell ref="A173:A180"/>
    <mergeCell ref="A193:A194"/>
    <mergeCell ref="B231:B232"/>
    <mergeCell ref="A358:A365"/>
    <mergeCell ref="E24:E31"/>
    <mergeCell ref="E181:E188"/>
    <mergeCell ref="A331:A332"/>
    <mergeCell ref="A157:A164"/>
    <mergeCell ref="B72:B79"/>
    <mergeCell ref="A237:A244"/>
    <mergeCell ref="B297:B304"/>
    <mergeCell ref="E165:E172"/>
    <mergeCell ref="E358:E365"/>
    <mergeCell ref="A221:A228"/>
    <mergeCell ref="E141:E148"/>
    <mergeCell ref="E279:E284"/>
    <mergeCell ref="A108:A115"/>
    <mergeCell ref="E221:E228"/>
    <mergeCell ref="E229:E236"/>
    <mergeCell ref="E205:E212"/>
    <mergeCell ref="A279:A284"/>
    <mergeCell ref="A32:A39"/>
    <mergeCell ref="E108:E115"/>
    <mergeCell ref="A72:A79"/>
    <mergeCell ref="B108:B115"/>
    <mergeCell ref="E321:E328"/>
    <mergeCell ref="E32:E39"/>
    <mergeCell ref="A229:A230"/>
    <mergeCell ref="B233:B234"/>
    <mergeCell ref="B334:B341"/>
    <mergeCell ref="E305:E312"/>
    <mergeCell ref="A40:A47"/>
    <mergeCell ref="B173:B180"/>
    <mergeCell ref="A271:A272"/>
    <mergeCell ref="B213:B220"/>
    <mergeCell ref="B100:B107"/>
    <mergeCell ref="A149:A150"/>
    <mergeCell ref="B96:B99"/>
    <mergeCell ref="B235:B236"/>
    <mergeCell ref="B165:B172"/>
    <mergeCell ref="A245:A252"/>
    <mergeCell ref="E269:E276"/>
    <mergeCell ref="A197:A204"/>
    <mergeCell ref="E253:E260"/>
    <mergeCell ref="B56:B63"/>
    <mergeCell ref="A273:A274"/>
    <mergeCell ref="A205:A212"/>
    <mergeCell ref="A195:A196"/>
    <mergeCell ref="E374:E381"/>
    <mergeCell ref="B181:B188"/>
    <mergeCell ref="A235:A236"/>
    <mergeCell ref="B88:B95"/>
    <mergeCell ref="E149:E156"/>
    <mergeCell ref="E331:E332"/>
    <mergeCell ref="B245:B252"/>
    <mergeCell ref="A80:A87"/>
    <mergeCell ref="B358:B365"/>
    <mergeCell ref="E133:E140"/>
    <mergeCell ref="B279:B284"/>
    <mergeCell ref="B331:B332"/>
    <mergeCell ref="B342:B349"/>
    <mergeCell ref="B374:B381"/>
    <mergeCell ref="B366:B373"/>
    <mergeCell ref="E48:E55"/>
    <mergeCell ref="B151:B152"/>
    <mergeCell ref="B350:B357"/>
    <mergeCell ref="B2:B9"/>
    <mergeCell ref="A269:A270"/>
    <mergeCell ref="A151:A152"/>
    <mergeCell ref="E285:E287"/>
    <mergeCell ref="B253:B260"/>
    <mergeCell ref="B157:B164"/>
    <mergeCell ref="A297:A304"/>
    <mergeCell ref="B275:B276"/>
    <mergeCell ref="B289:B296"/>
    <mergeCell ref="E80:E87"/>
    <mergeCell ref="E277:E278"/>
    <mergeCell ref="B277:B278"/>
    <mergeCell ref="E157:E164"/>
    <mergeCell ref="B205:B212"/>
    <mergeCell ref="A10:A15"/>
    <mergeCell ref="B133:B140"/>
    <mergeCell ref="E16:E23"/>
    <mergeCell ref="A191:A192"/>
    <mergeCell ref="B153:B154"/>
    <mergeCell ref="A342:A349"/>
    <mergeCell ref="B273:B274"/>
    <mergeCell ref="E342:E349"/>
    <mergeCell ref="E289:E296"/>
    <mergeCell ref="B237:B244"/>
    <mergeCell ref="A64:A71"/>
    <mergeCell ref="A350:A357"/>
    <mergeCell ref="B16:B23"/>
    <mergeCell ref="E117:E124"/>
    <mergeCell ref="B221:B228"/>
    <mergeCell ref="B229:B230"/>
    <mergeCell ref="A233:A234"/>
    <mergeCell ref="A334:A341"/>
    <mergeCell ref="B155:B156"/>
    <mergeCell ref="B305:B312"/>
    <mergeCell ref="E56:E63"/>
    <mergeCell ref="B285:B287"/>
    <mergeCell ref="B64:B71"/>
    <mergeCell ref="A153:A154"/>
    <mergeCell ref="A261:A268"/>
    <mergeCell ref="A117:A124"/>
    <mergeCell ref="E189:E196"/>
    <mergeCell ref="B125:B132"/>
    <mergeCell ref="B32:B39"/>
    <mergeCell ref="E213:E220"/>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P36"/>
  <sheetViews>
    <sheetView zoomScale="97" zoomScaleNormal="115" workbookViewId="0">
      <pane xSplit="3" ySplit="2" topLeftCell="D3" activePane="bottomRight" state="frozen"/>
      <selection pane="topRight" activeCell="D121" sqref="D121:F121"/>
      <selection pane="bottomLeft" activeCell="D121" sqref="D121:F121"/>
      <selection pane="bottomRight" activeCell="F8" sqref="F8"/>
    </sheetView>
  </sheetViews>
  <sheetFormatPr defaultColWidth="8.81640625" defaultRowHeight="14.5"/>
  <cols>
    <col min="1" max="1" width="9" style="23" bestFit="1" customWidth="1"/>
    <col min="2" max="2" width="48.453125" style="24" bestFit="1" customWidth="1"/>
    <col min="3" max="3" width="11.7265625" style="29" bestFit="1" customWidth="1"/>
    <col min="4" max="5" width="27.26953125" style="29" bestFit="1" customWidth="1"/>
    <col min="6" max="6" width="13.81640625" style="29" bestFit="1" customWidth="1"/>
    <col min="7" max="7" width="11.453125" style="29" customWidth="1"/>
    <col min="8" max="15" width="13.81640625" style="44" customWidth="1"/>
    <col min="16" max="16" width="29.7265625" style="38" bestFit="1" customWidth="1"/>
    <col min="17" max="17" width="9.7265625" style="23" bestFit="1" customWidth="1"/>
    <col min="18" max="19" width="8.81640625" style="23" customWidth="1"/>
    <col min="20" max="16384" width="8.81640625" style="23"/>
  </cols>
  <sheetData>
    <row r="1" spans="1:12" s="25" customFormat="1">
      <c r="A1" s="23"/>
      <c r="B1" s="24"/>
      <c r="C1" s="29"/>
      <c r="D1" s="114" t="s">
        <v>5</v>
      </c>
      <c r="E1" s="115"/>
      <c r="F1" s="115"/>
      <c r="G1" s="116"/>
      <c r="H1" s="27"/>
      <c r="I1" s="23"/>
      <c r="J1" s="23"/>
      <c r="K1" s="23"/>
      <c r="L1" s="23"/>
    </row>
    <row r="2" spans="1:12" s="25" customFormat="1">
      <c r="A2" s="26" t="s">
        <v>64</v>
      </c>
      <c r="B2" s="26" t="s">
        <v>3</v>
      </c>
      <c r="C2" s="27" t="s">
        <v>69</v>
      </c>
      <c r="D2" s="27" t="s">
        <v>1255</v>
      </c>
      <c r="E2" s="27" t="s">
        <v>1256</v>
      </c>
      <c r="F2" s="27" t="s">
        <v>1257</v>
      </c>
      <c r="G2" s="27" t="s">
        <v>1258</v>
      </c>
      <c r="H2" s="26" t="s">
        <v>6</v>
      </c>
      <c r="I2" s="23"/>
      <c r="J2" s="23"/>
      <c r="K2" s="23"/>
      <c r="L2" s="23"/>
    </row>
    <row r="3" spans="1:12" s="25" customFormat="1">
      <c r="A3" s="28">
        <v>1</v>
      </c>
      <c r="B3" s="22" t="s">
        <v>1259</v>
      </c>
      <c r="C3" s="28"/>
      <c r="D3" s="55" t="s">
        <v>58</v>
      </c>
      <c r="E3" s="55" t="s">
        <v>58</v>
      </c>
      <c r="F3" s="55" t="s">
        <v>58</v>
      </c>
      <c r="G3" s="55" t="s">
        <v>58</v>
      </c>
      <c r="H3" s="36"/>
      <c r="I3" s="23"/>
      <c r="J3" s="23"/>
      <c r="K3" s="23"/>
      <c r="L3" s="23"/>
    </row>
    <row r="4" spans="1:12" s="25" customFormat="1">
      <c r="A4" s="28">
        <v>2</v>
      </c>
      <c r="B4" s="22" t="s">
        <v>1260</v>
      </c>
      <c r="C4" s="28"/>
      <c r="D4" s="55" t="s">
        <v>58</v>
      </c>
      <c r="E4" s="55" t="s">
        <v>58</v>
      </c>
      <c r="F4" s="55" t="s">
        <v>58</v>
      </c>
      <c r="G4" s="55" t="s">
        <v>58</v>
      </c>
      <c r="H4" s="36"/>
      <c r="I4" s="23"/>
      <c r="J4" s="23"/>
      <c r="K4" s="23"/>
      <c r="L4" s="23"/>
    </row>
    <row r="5" spans="1:12" s="25" customFormat="1">
      <c r="A5" s="28">
        <v>3</v>
      </c>
      <c r="B5" s="22" t="s">
        <v>1261</v>
      </c>
      <c r="C5" s="28"/>
      <c r="D5" s="55" t="s">
        <v>58</v>
      </c>
      <c r="E5" s="55" t="s">
        <v>58</v>
      </c>
      <c r="F5" s="55" t="s">
        <v>58</v>
      </c>
      <c r="G5" s="55" t="s">
        <v>58</v>
      </c>
      <c r="H5" s="36"/>
      <c r="I5" s="23"/>
      <c r="J5" s="23"/>
      <c r="K5" s="23"/>
      <c r="L5" s="23"/>
    </row>
    <row r="6" spans="1:12" s="25" customFormat="1">
      <c r="A6" s="28">
        <v>4</v>
      </c>
      <c r="B6" s="22" t="s">
        <v>1262</v>
      </c>
      <c r="C6" s="28" t="s">
        <v>1263</v>
      </c>
      <c r="D6" s="58" t="s">
        <v>1264</v>
      </c>
      <c r="E6" s="55" t="s">
        <v>1265</v>
      </c>
      <c r="F6" s="55" t="s">
        <v>1266</v>
      </c>
      <c r="G6" s="55" t="s">
        <v>1267</v>
      </c>
      <c r="H6" s="36"/>
      <c r="I6" s="23"/>
      <c r="J6" s="23"/>
      <c r="K6" s="23"/>
      <c r="L6" s="23"/>
    </row>
    <row r="7" spans="1:12" s="25" customFormat="1">
      <c r="A7" s="28">
        <v>5</v>
      </c>
      <c r="B7" s="22" t="s">
        <v>1268</v>
      </c>
      <c r="C7" s="28" t="s">
        <v>1263</v>
      </c>
      <c r="D7" s="55" t="s">
        <v>58</v>
      </c>
      <c r="E7" s="55" t="s">
        <v>58</v>
      </c>
      <c r="F7" s="55" t="str">
        <f t="shared" ref="F7:G10" si="0">ROUND(65535/256,3) &amp; "dB"</f>
        <v>255.996dB</v>
      </c>
      <c r="G7" s="55" t="str">
        <f t="shared" si="0"/>
        <v>255.996dB</v>
      </c>
      <c r="H7" s="36"/>
      <c r="I7" s="23"/>
      <c r="J7" s="23"/>
      <c r="K7" s="23"/>
      <c r="L7" s="23"/>
    </row>
    <row r="8" spans="1:12" s="25" customFormat="1">
      <c r="A8" s="28">
        <v>6</v>
      </c>
      <c r="B8" s="22" t="s">
        <v>1269</v>
      </c>
      <c r="C8" s="28" t="s">
        <v>1263</v>
      </c>
      <c r="D8" s="55" t="s">
        <v>58</v>
      </c>
      <c r="E8" s="55" t="s">
        <v>58</v>
      </c>
      <c r="F8" s="55" t="str">
        <f t="shared" si="0"/>
        <v>255.996dB</v>
      </c>
      <c r="G8" s="55" t="str">
        <f t="shared" si="0"/>
        <v>255.996dB</v>
      </c>
      <c r="H8" s="36"/>
      <c r="I8" s="23"/>
      <c r="J8" s="23"/>
      <c r="K8" s="23"/>
      <c r="L8" s="23"/>
    </row>
    <row r="9" spans="1:12" s="25" customFormat="1">
      <c r="A9" s="28">
        <v>7</v>
      </c>
      <c r="B9" s="22" t="s">
        <v>1270</v>
      </c>
      <c r="C9" s="28" t="s">
        <v>1263</v>
      </c>
      <c r="D9" s="55" t="s">
        <v>58</v>
      </c>
      <c r="E9" s="55" t="s">
        <v>58</v>
      </c>
      <c r="F9" s="55" t="str">
        <f t="shared" si="0"/>
        <v>255.996dB</v>
      </c>
      <c r="G9" s="55" t="str">
        <f t="shared" si="0"/>
        <v>255.996dB</v>
      </c>
      <c r="H9" s="36"/>
      <c r="I9" s="23"/>
      <c r="J9" s="23"/>
      <c r="K9" s="23"/>
      <c r="L9" s="23"/>
    </row>
    <row r="10" spans="1:12" s="25" customFormat="1">
      <c r="A10" s="28">
        <v>8</v>
      </c>
      <c r="B10" s="22" t="s">
        <v>1271</v>
      </c>
      <c r="C10" s="28" t="s">
        <v>1263</v>
      </c>
      <c r="D10" s="55" t="s">
        <v>58</v>
      </c>
      <c r="E10" s="55" t="s">
        <v>58</v>
      </c>
      <c r="F10" s="55" t="str">
        <f t="shared" si="0"/>
        <v>255.996dB</v>
      </c>
      <c r="G10" s="55" t="str">
        <f t="shared" si="0"/>
        <v>255.996dB</v>
      </c>
      <c r="H10" s="36"/>
      <c r="I10" s="23"/>
      <c r="J10" s="23"/>
      <c r="K10" s="23"/>
      <c r="L10" s="23"/>
    </row>
    <row r="11" spans="1:12" s="25" customFormat="1">
      <c r="A11" s="28">
        <v>9</v>
      </c>
      <c r="B11" s="22" t="s">
        <v>1272</v>
      </c>
      <c r="C11" s="28" t="s">
        <v>1263</v>
      </c>
      <c r="D11" s="55">
        <v>0</v>
      </c>
      <c r="E11" s="55">
        <v>0</v>
      </c>
      <c r="F11" s="56">
        <v>9.9999999999999995E-8</v>
      </c>
      <c r="G11" s="56">
        <v>9.9999999999999995E-7</v>
      </c>
      <c r="H11" s="37"/>
      <c r="I11" s="34"/>
      <c r="J11" s="23"/>
      <c r="K11" s="23"/>
      <c r="L11" s="23"/>
    </row>
    <row r="12" spans="1:12" s="25" customFormat="1">
      <c r="A12" s="28">
        <v>10</v>
      </c>
      <c r="B12" s="22" t="s">
        <v>1273</v>
      </c>
      <c r="C12" s="28" t="s">
        <v>1263</v>
      </c>
      <c r="D12" s="55">
        <v>0</v>
      </c>
      <c r="E12" s="55">
        <v>0</v>
      </c>
      <c r="F12" s="56">
        <v>9.9999999999999995E-8</v>
      </c>
      <c r="G12" s="56">
        <v>9.9999999999999995E-7</v>
      </c>
      <c r="H12" s="37"/>
      <c r="I12" s="23"/>
      <c r="J12" s="23"/>
      <c r="K12" s="23"/>
      <c r="L12" s="23"/>
    </row>
    <row r="13" spans="1:12" s="25" customFormat="1">
      <c r="A13" s="28">
        <v>11</v>
      </c>
      <c r="B13" s="22" t="s">
        <v>1274</v>
      </c>
      <c r="C13" s="28" t="s">
        <v>1263</v>
      </c>
      <c r="D13" s="55">
        <v>0</v>
      </c>
      <c r="E13" s="55">
        <v>0</v>
      </c>
      <c r="F13" s="56">
        <v>9.9999999999999995E-8</v>
      </c>
      <c r="G13" s="56">
        <v>9.9999999999999995E-7</v>
      </c>
      <c r="H13" s="37"/>
      <c r="I13" s="23"/>
      <c r="J13" s="23"/>
      <c r="K13" s="23"/>
      <c r="L13" s="23"/>
    </row>
    <row r="14" spans="1:12" s="25" customFormat="1">
      <c r="A14" s="28">
        <v>12</v>
      </c>
      <c r="B14" s="22" t="s">
        <v>1275</v>
      </c>
      <c r="C14" s="28" t="s">
        <v>1263</v>
      </c>
      <c r="D14" s="55">
        <v>0</v>
      </c>
      <c r="E14" s="55">
        <v>0</v>
      </c>
      <c r="F14" s="56">
        <v>9.9999999999999995E-8</v>
      </c>
      <c r="G14" s="56">
        <v>9.9999999999999995E-7</v>
      </c>
      <c r="H14" s="37"/>
      <c r="I14" s="23"/>
      <c r="J14" s="23"/>
      <c r="K14" s="23"/>
      <c r="L14" s="23"/>
    </row>
    <row r="15" spans="1:12" s="25" customFormat="1">
      <c r="A15" s="28">
        <v>13</v>
      </c>
      <c r="B15" s="22" t="s">
        <v>1276</v>
      </c>
      <c r="C15" s="28" t="s">
        <v>1263</v>
      </c>
      <c r="D15" s="55">
        <v>0</v>
      </c>
      <c r="E15" s="55">
        <v>0</v>
      </c>
      <c r="F15" s="56">
        <v>9.9999999999999995E-8</v>
      </c>
      <c r="G15" s="56">
        <v>9.9999999999999995E-7</v>
      </c>
      <c r="H15" s="37"/>
      <c r="I15" s="23"/>
      <c r="J15" s="23"/>
      <c r="K15" s="23"/>
      <c r="L15" s="23"/>
    </row>
    <row r="16" spans="1:12" s="25" customFormat="1">
      <c r="A16" s="28">
        <v>14</v>
      </c>
      <c r="B16" s="22" t="s">
        <v>1277</v>
      </c>
      <c r="C16" s="28" t="s">
        <v>1263</v>
      </c>
      <c r="D16" s="55">
        <v>0</v>
      </c>
      <c r="E16" s="55">
        <v>0</v>
      </c>
      <c r="F16" s="56">
        <v>9.9999999999999995E-8</v>
      </c>
      <c r="G16" s="56">
        <v>9.9999999999999995E-7</v>
      </c>
      <c r="H16" s="37"/>
      <c r="I16" s="23"/>
      <c r="J16" s="23"/>
      <c r="K16" s="23"/>
      <c r="L16" s="23"/>
    </row>
    <row r="17" spans="1:12" s="25" customFormat="1">
      <c r="A17" s="28">
        <v>15</v>
      </c>
      <c r="B17" s="22" t="s">
        <v>1278</v>
      </c>
      <c r="C17" s="28" t="s">
        <v>1263</v>
      </c>
      <c r="D17" s="55">
        <v>0</v>
      </c>
      <c r="E17" s="55">
        <v>0</v>
      </c>
      <c r="F17" s="56">
        <v>9.9999999999999995E-8</v>
      </c>
      <c r="G17" s="56">
        <v>9.9999999999999995E-7</v>
      </c>
      <c r="H17" s="37"/>
      <c r="I17" s="23"/>
      <c r="J17" s="23"/>
      <c r="K17" s="23"/>
      <c r="L17" s="23"/>
    </row>
    <row r="18" spans="1:12" s="25" customFormat="1">
      <c r="A18" s="28">
        <v>16</v>
      </c>
      <c r="B18" s="22" t="s">
        <v>1279</v>
      </c>
      <c r="C18" s="28" t="s">
        <v>1263</v>
      </c>
      <c r="D18" s="55">
        <v>0</v>
      </c>
      <c r="E18" s="55">
        <v>0</v>
      </c>
      <c r="F18" s="56">
        <v>9.9999999999999995E-8</v>
      </c>
      <c r="G18" s="56">
        <v>9.9999999999999995E-7</v>
      </c>
      <c r="H18" s="37"/>
      <c r="I18" s="23"/>
      <c r="J18" s="23"/>
      <c r="K18" s="23"/>
      <c r="L18" s="23"/>
    </row>
    <row r="19" spans="1:12" s="25" customFormat="1">
      <c r="A19" s="28">
        <v>17</v>
      </c>
      <c r="B19" s="22" t="s">
        <v>1280</v>
      </c>
      <c r="C19" s="28" t="s">
        <v>1263</v>
      </c>
      <c r="D19" s="55">
        <v>0</v>
      </c>
      <c r="E19" s="55">
        <v>0</v>
      </c>
      <c r="F19" s="55">
        <v>0</v>
      </c>
      <c r="G19" s="55">
        <v>0</v>
      </c>
      <c r="H19" s="36"/>
      <c r="I19" s="23"/>
      <c r="J19" s="23"/>
      <c r="K19" s="23"/>
      <c r="L19" s="23"/>
    </row>
    <row r="20" spans="1:12" s="25" customFormat="1">
      <c r="A20" s="28">
        <v>18</v>
      </c>
      <c r="B20" s="22" t="s">
        <v>1281</v>
      </c>
      <c r="C20" s="28" t="s">
        <v>1263</v>
      </c>
      <c r="D20" s="55">
        <v>0</v>
      </c>
      <c r="E20" s="55">
        <v>0</v>
      </c>
      <c r="F20" s="55">
        <v>0</v>
      </c>
      <c r="G20" s="55">
        <v>0</v>
      </c>
      <c r="H20" s="36"/>
      <c r="I20" s="23"/>
      <c r="J20" s="23"/>
      <c r="K20" s="23"/>
      <c r="L20" s="23"/>
    </row>
    <row r="21" spans="1:12" s="25" customFormat="1">
      <c r="A21" s="28">
        <v>19</v>
      </c>
      <c r="B21" s="22" t="s">
        <v>1282</v>
      </c>
      <c r="C21" s="28" t="s">
        <v>1263</v>
      </c>
      <c r="D21" s="55">
        <v>0</v>
      </c>
      <c r="E21" s="55">
        <v>0</v>
      </c>
      <c r="F21" s="55">
        <v>0</v>
      </c>
      <c r="G21" s="55">
        <v>0</v>
      </c>
      <c r="H21" s="36"/>
      <c r="I21" s="23"/>
      <c r="J21" s="23"/>
      <c r="K21" s="23"/>
      <c r="L21" s="23"/>
    </row>
    <row r="22" spans="1:12" s="25" customFormat="1">
      <c r="A22" s="28">
        <v>20</v>
      </c>
      <c r="B22" s="22" t="s">
        <v>1283</v>
      </c>
      <c r="C22" s="28" t="s">
        <v>1263</v>
      </c>
      <c r="D22" s="55">
        <v>0</v>
      </c>
      <c r="E22" s="55">
        <v>0</v>
      </c>
      <c r="F22" s="55">
        <v>0</v>
      </c>
      <c r="G22" s="55">
        <v>0</v>
      </c>
      <c r="H22" s="36"/>
      <c r="I22" s="23"/>
      <c r="J22" s="23"/>
      <c r="K22" s="23"/>
      <c r="L22" s="23"/>
    </row>
    <row r="23" spans="1:12" s="25" customFormat="1">
      <c r="A23" s="28">
        <v>21</v>
      </c>
      <c r="B23" s="22" t="s">
        <v>1284</v>
      </c>
      <c r="C23" s="28" t="s">
        <v>1263</v>
      </c>
      <c r="D23" s="55">
        <v>0</v>
      </c>
      <c r="E23" s="55">
        <v>0</v>
      </c>
      <c r="F23" s="55">
        <v>0</v>
      </c>
      <c r="G23" s="55">
        <v>0</v>
      </c>
      <c r="H23" s="36"/>
      <c r="I23" s="23"/>
      <c r="J23" s="23"/>
      <c r="K23" s="23"/>
      <c r="L23" s="23"/>
    </row>
    <row r="24" spans="1:12" s="25" customFormat="1">
      <c r="A24" s="28">
        <v>22</v>
      </c>
      <c r="B24" s="22" t="s">
        <v>1285</v>
      </c>
      <c r="C24" s="28" t="s">
        <v>1263</v>
      </c>
      <c r="D24" s="55">
        <v>0</v>
      </c>
      <c r="E24" s="55">
        <v>0</v>
      </c>
      <c r="F24" s="55">
        <v>0</v>
      </c>
      <c r="G24" s="55">
        <v>0</v>
      </c>
      <c r="H24" s="36"/>
      <c r="I24" s="23"/>
      <c r="J24" s="23"/>
      <c r="K24" s="23"/>
      <c r="L24" s="23"/>
    </row>
    <row r="25" spans="1:12" s="25" customFormat="1">
      <c r="A25" s="28">
        <v>23</v>
      </c>
      <c r="B25" s="22" t="s">
        <v>1286</v>
      </c>
      <c r="C25" s="28" t="s">
        <v>1263</v>
      </c>
      <c r="D25" s="55">
        <v>0</v>
      </c>
      <c r="E25" s="55">
        <v>0</v>
      </c>
      <c r="F25" s="55">
        <v>0</v>
      </c>
      <c r="G25" s="55">
        <v>0</v>
      </c>
      <c r="H25" s="36"/>
      <c r="I25" s="23"/>
      <c r="J25" s="23"/>
      <c r="K25" s="23"/>
      <c r="L25" s="23"/>
    </row>
    <row r="26" spans="1:12" s="25" customFormat="1">
      <c r="A26" s="28">
        <v>24</v>
      </c>
      <c r="B26" s="22" t="s">
        <v>1287</v>
      </c>
      <c r="C26" s="28" t="s">
        <v>1263</v>
      </c>
      <c r="D26" s="55">
        <v>0</v>
      </c>
      <c r="E26" s="55">
        <v>0</v>
      </c>
      <c r="F26" s="55">
        <v>0</v>
      </c>
      <c r="G26" s="55">
        <v>0</v>
      </c>
      <c r="H26" s="36"/>
      <c r="I26" s="23"/>
      <c r="J26" s="23"/>
      <c r="K26" s="23"/>
      <c r="L26" s="23"/>
    </row>
    <row r="27" spans="1:12" s="25" customFormat="1">
      <c r="A27" s="28">
        <v>25</v>
      </c>
      <c r="B27" s="22" t="s">
        <v>1288</v>
      </c>
      <c r="C27" s="28" t="s">
        <v>1263</v>
      </c>
      <c r="D27" s="55">
        <v>0</v>
      </c>
      <c r="E27" s="55">
        <v>0</v>
      </c>
      <c r="F27" s="55">
        <v>0</v>
      </c>
      <c r="G27" s="55">
        <v>0</v>
      </c>
      <c r="H27" s="36"/>
      <c r="I27" s="23"/>
      <c r="J27" s="23"/>
      <c r="K27" s="23"/>
      <c r="L27" s="23"/>
    </row>
    <row r="28" spans="1:12" s="25" customFormat="1">
      <c r="A28" s="28">
        <v>26</v>
      </c>
      <c r="B28" s="22" t="s">
        <v>1289</v>
      </c>
      <c r="C28" s="28" t="s">
        <v>1263</v>
      </c>
      <c r="D28" s="55">
        <v>0</v>
      </c>
      <c r="E28" s="55">
        <v>0</v>
      </c>
      <c r="F28" s="55">
        <v>0</v>
      </c>
      <c r="G28" s="55">
        <v>0</v>
      </c>
      <c r="H28" s="36"/>
      <c r="I28" s="23"/>
      <c r="J28" s="23"/>
      <c r="K28" s="23"/>
      <c r="L28" s="23"/>
    </row>
    <row r="29" spans="1:12" ht="15.65" customHeight="1">
      <c r="A29" s="28">
        <v>27</v>
      </c>
      <c r="B29" s="22" t="s">
        <v>1290</v>
      </c>
      <c r="C29" s="28" t="s">
        <v>1263</v>
      </c>
      <c r="D29" s="73">
        <v>0</v>
      </c>
      <c r="E29" s="73">
        <v>0</v>
      </c>
      <c r="F29" s="74">
        <v>8</v>
      </c>
      <c r="G29" s="74">
        <v>9</v>
      </c>
      <c r="H29" s="36"/>
    </row>
    <row r="30" spans="1:12" ht="15.65" customHeight="1">
      <c r="A30" s="28">
        <v>28</v>
      </c>
      <c r="B30" s="22" t="s">
        <v>1291</v>
      </c>
      <c r="C30" s="28" t="s">
        <v>1263</v>
      </c>
      <c r="D30" s="73">
        <v>0</v>
      </c>
      <c r="E30" s="73">
        <v>0</v>
      </c>
      <c r="F30" s="74">
        <v>8</v>
      </c>
      <c r="G30" s="74">
        <v>9</v>
      </c>
      <c r="H30" s="36"/>
    </row>
    <row r="31" spans="1:12" ht="15.65" customHeight="1">
      <c r="A31" s="28">
        <v>29</v>
      </c>
      <c r="B31" s="22" t="s">
        <v>1292</v>
      </c>
      <c r="C31" s="28" t="s">
        <v>1263</v>
      </c>
      <c r="D31" s="73">
        <v>0</v>
      </c>
      <c r="E31" s="73">
        <v>0</v>
      </c>
      <c r="F31" s="74">
        <v>8</v>
      </c>
      <c r="G31" s="74">
        <v>9</v>
      </c>
      <c r="H31" s="36"/>
    </row>
    <row r="32" spans="1:12" ht="15.65" customHeight="1">
      <c r="A32" s="28">
        <v>30</v>
      </c>
      <c r="B32" s="22" t="s">
        <v>1293</v>
      </c>
      <c r="C32" s="28" t="s">
        <v>1263</v>
      </c>
      <c r="D32" s="73">
        <v>0</v>
      </c>
      <c r="E32" s="73">
        <v>0</v>
      </c>
      <c r="F32" s="74">
        <v>8</v>
      </c>
      <c r="G32" s="74">
        <v>9</v>
      </c>
      <c r="H32" s="36"/>
    </row>
    <row r="33" spans="1:8" ht="15.65" customHeight="1">
      <c r="A33" s="28">
        <v>31</v>
      </c>
      <c r="B33" s="22" t="s">
        <v>1294</v>
      </c>
      <c r="C33" s="28" t="s">
        <v>1263</v>
      </c>
      <c r="D33" s="73">
        <v>0</v>
      </c>
      <c r="E33" s="73">
        <v>0</v>
      </c>
      <c r="F33" s="74">
        <v>8</v>
      </c>
      <c r="G33" s="74">
        <v>9</v>
      </c>
      <c r="H33" s="36"/>
    </row>
    <row r="34" spans="1:8" ht="15.65" customHeight="1">
      <c r="A34" s="28">
        <v>32</v>
      </c>
      <c r="B34" s="22" t="s">
        <v>1295</v>
      </c>
      <c r="C34" s="28" t="s">
        <v>1263</v>
      </c>
      <c r="D34" s="73">
        <v>0</v>
      </c>
      <c r="E34" s="73">
        <v>0</v>
      </c>
      <c r="F34" s="74">
        <v>8</v>
      </c>
      <c r="G34" s="74">
        <v>9</v>
      </c>
      <c r="H34" s="36"/>
    </row>
    <row r="35" spans="1:8" ht="15.65" customHeight="1">
      <c r="A35" s="28">
        <v>33</v>
      </c>
      <c r="B35" s="22" t="s">
        <v>1296</v>
      </c>
      <c r="C35" s="28" t="s">
        <v>1263</v>
      </c>
      <c r="D35" s="73">
        <v>0</v>
      </c>
      <c r="E35" s="73">
        <v>0</v>
      </c>
      <c r="F35" s="74">
        <v>8</v>
      </c>
      <c r="G35" s="74">
        <v>9</v>
      </c>
      <c r="H35" s="36"/>
    </row>
    <row r="36" spans="1:8" ht="15.65" customHeight="1">
      <c r="A36" s="28">
        <v>34</v>
      </c>
      <c r="B36" s="22" t="s">
        <v>1297</v>
      </c>
      <c r="C36" s="28" t="s">
        <v>1263</v>
      </c>
      <c r="D36" s="73">
        <v>0</v>
      </c>
      <c r="E36" s="73">
        <v>0</v>
      </c>
      <c r="F36" s="74">
        <v>8</v>
      </c>
      <c r="G36" s="74">
        <v>9</v>
      </c>
      <c r="H36" s="36"/>
    </row>
  </sheetData>
  <mergeCells count="1">
    <mergeCell ref="D1:G1"/>
  </mergeCells>
  <pageMargins left="0.7" right="0.7" top="0.75" bottom="0.75" header="0.3" footer="0.3"/>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44"/>
  <sheetViews>
    <sheetView zoomScaleNormal="100" workbookViewId="0">
      <pane xSplit="4" ySplit="1" topLeftCell="E2" activePane="bottomRight" state="frozen"/>
      <selection pane="topRight" activeCell="J1" sqref="J1"/>
      <selection pane="bottomLeft" activeCell="A2" sqref="A2"/>
      <selection pane="bottomRight" activeCell="C38" sqref="C38"/>
    </sheetView>
  </sheetViews>
  <sheetFormatPr defaultColWidth="8.81640625" defaultRowHeight="14.5"/>
  <cols>
    <col min="1" max="1" width="11.26953125" style="59" bestFit="1" customWidth="1"/>
    <col min="2" max="2" width="42" style="63" bestFit="1" customWidth="1"/>
    <col min="3" max="3" width="31.1796875" style="59" bestFit="1" customWidth="1"/>
    <col min="4" max="4" width="147" style="59" customWidth="1"/>
    <col min="5" max="5" width="8.81640625" style="59" customWidth="1"/>
    <col min="6" max="16384" width="8.81640625" style="59"/>
  </cols>
  <sheetData>
    <row r="1" spans="1:4" ht="15" customHeight="1">
      <c r="A1" s="60" t="s">
        <v>1298</v>
      </c>
      <c r="B1" s="60" t="s">
        <v>1299</v>
      </c>
      <c r="C1" s="60" t="s">
        <v>5</v>
      </c>
      <c r="D1" s="60" t="s">
        <v>6</v>
      </c>
    </row>
    <row r="2" spans="1:4" s="62" customFormat="1" ht="28" customHeight="1">
      <c r="A2" s="61" t="s">
        <v>1300</v>
      </c>
      <c r="B2" s="61" t="s">
        <v>1301</v>
      </c>
      <c r="C2" s="61" t="s">
        <v>1302</v>
      </c>
      <c r="D2" s="61" t="s">
        <v>1303</v>
      </c>
    </row>
    <row r="3" spans="1:4" s="62" customFormat="1" ht="28" customHeight="1">
      <c r="A3" s="61" t="s">
        <v>1304</v>
      </c>
      <c r="B3" s="61" t="s">
        <v>1305</v>
      </c>
      <c r="C3" s="61" t="s">
        <v>1306</v>
      </c>
      <c r="D3" s="61"/>
    </row>
    <row r="4" spans="1:4" s="62" customFormat="1" ht="28" customHeight="1">
      <c r="A4" s="61" t="s">
        <v>1307</v>
      </c>
      <c r="B4" s="61" t="s">
        <v>1308</v>
      </c>
      <c r="C4" s="61" t="s">
        <v>1306</v>
      </c>
      <c r="D4" s="61"/>
    </row>
    <row r="5" spans="1:4" s="62" customFormat="1" ht="28" customHeight="1">
      <c r="A5" s="61" t="s">
        <v>1309</v>
      </c>
      <c r="B5" s="61" t="s">
        <v>1310</v>
      </c>
      <c r="C5" s="61" t="s">
        <v>1306</v>
      </c>
      <c r="D5" s="61" t="s">
        <v>1311</v>
      </c>
    </row>
    <row r="6" spans="1:4" s="62" customFormat="1">
      <c r="A6" s="61" t="s">
        <v>1312</v>
      </c>
      <c r="B6" s="61" t="s">
        <v>1313</v>
      </c>
      <c r="C6" s="61" t="s">
        <v>1302</v>
      </c>
      <c r="D6" s="61" t="s">
        <v>1314</v>
      </c>
    </row>
    <row r="7" spans="1:4" s="62" customFormat="1">
      <c r="A7" s="61" t="s">
        <v>1315</v>
      </c>
      <c r="B7" s="61" t="s">
        <v>1316</v>
      </c>
      <c r="C7" s="61" t="s">
        <v>1302</v>
      </c>
      <c r="D7" s="61" t="s">
        <v>1317</v>
      </c>
    </row>
    <row r="8" spans="1:4" s="62" customFormat="1" ht="28">
      <c r="A8" s="61" t="s">
        <v>1318</v>
      </c>
      <c r="B8" s="61" t="s">
        <v>1319</v>
      </c>
      <c r="C8" s="61" t="s">
        <v>1302</v>
      </c>
      <c r="D8" s="61" t="s">
        <v>1320</v>
      </c>
    </row>
    <row r="9" spans="1:4" s="62" customFormat="1">
      <c r="A9" s="61" t="s">
        <v>1321</v>
      </c>
      <c r="B9" s="61" t="s">
        <v>1322</v>
      </c>
      <c r="C9" s="61" t="s">
        <v>1302</v>
      </c>
      <c r="D9" s="61" t="s">
        <v>1323</v>
      </c>
    </row>
    <row r="10" spans="1:4" s="62" customFormat="1">
      <c r="A10" s="61" t="s">
        <v>1324</v>
      </c>
      <c r="B10" s="61" t="s">
        <v>1325</v>
      </c>
      <c r="C10" s="61" t="s">
        <v>1302</v>
      </c>
      <c r="D10" s="61" t="s">
        <v>1326</v>
      </c>
    </row>
    <row r="11" spans="1:4" s="62" customFormat="1">
      <c r="A11" s="61" t="s">
        <v>1327</v>
      </c>
      <c r="B11" s="61" t="s">
        <v>1328</v>
      </c>
      <c r="C11" s="61" t="s">
        <v>1302</v>
      </c>
      <c r="D11" s="61" t="s">
        <v>1329</v>
      </c>
    </row>
    <row r="12" spans="1:4" s="62" customFormat="1" ht="28" customHeight="1">
      <c r="A12" s="61" t="s">
        <v>1330</v>
      </c>
      <c r="B12" s="61" t="s">
        <v>1331</v>
      </c>
      <c r="C12" s="61" t="s">
        <v>1302</v>
      </c>
      <c r="D12" s="61" t="s">
        <v>1332</v>
      </c>
    </row>
    <row r="13" spans="1:4" s="62" customFormat="1" ht="28" customHeight="1">
      <c r="A13" s="61" t="s">
        <v>1333</v>
      </c>
      <c r="B13" s="61" t="s">
        <v>1334</v>
      </c>
      <c r="C13" s="61" t="s">
        <v>1302</v>
      </c>
      <c r="D13" s="61" t="s">
        <v>1335</v>
      </c>
    </row>
    <row r="14" spans="1:4" s="62" customFormat="1">
      <c r="A14" s="61" t="s">
        <v>1336</v>
      </c>
      <c r="B14" s="61" t="s">
        <v>1337</v>
      </c>
      <c r="C14" s="61" t="s">
        <v>1302</v>
      </c>
      <c r="D14" s="61" t="s">
        <v>1338</v>
      </c>
    </row>
    <row r="15" spans="1:4" s="62" customFormat="1" ht="28" customHeight="1">
      <c r="A15" s="61" t="s">
        <v>1339</v>
      </c>
      <c r="B15" s="61" t="s">
        <v>1340</v>
      </c>
      <c r="C15" s="61" t="s">
        <v>1306</v>
      </c>
      <c r="D15" s="61" t="s">
        <v>1341</v>
      </c>
    </row>
    <row r="16" spans="1:4" s="62" customFormat="1">
      <c r="A16" s="61" t="s">
        <v>1342</v>
      </c>
      <c r="B16" s="61" t="s">
        <v>1343</v>
      </c>
      <c r="C16" s="61" t="s">
        <v>1302</v>
      </c>
      <c r="D16" s="61" t="s">
        <v>1344</v>
      </c>
    </row>
    <row r="17" spans="1:4" s="62" customFormat="1" ht="28" customHeight="1">
      <c r="A17" s="61" t="s">
        <v>1345</v>
      </c>
      <c r="B17" s="61" t="s">
        <v>1346</v>
      </c>
      <c r="C17" s="61" t="s">
        <v>1306</v>
      </c>
      <c r="D17" s="61" t="s">
        <v>1347</v>
      </c>
    </row>
    <row r="18" spans="1:4" s="62" customFormat="1" ht="28" customHeight="1">
      <c r="A18" s="61" t="s">
        <v>1348</v>
      </c>
      <c r="B18" s="61" t="s">
        <v>1349</v>
      </c>
      <c r="C18" s="61" t="s">
        <v>1306</v>
      </c>
      <c r="D18" s="61" t="s">
        <v>1350</v>
      </c>
    </row>
    <row r="19" spans="1:4" s="62" customFormat="1">
      <c r="A19" s="61" t="s">
        <v>1351</v>
      </c>
      <c r="B19" s="61" t="s">
        <v>1352</v>
      </c>
      <c r="C19" s="61" t="s">
        <v>1302</v>
      </c>
      <c r="D19" s="61" t="s">
        <v>1353</v>
      </c>
    </row>
    <row r="20" spans="1:4" s="62" customFormat="1" ht="28" customHeight="1">
      <c r="A20" s="61" t="s">
        <v>1354</v>
      </c>
      <c r="B20" s="61" t="s">
        <v>1355</v>
      </c>
      <c r="C20" s="61" t="s">
        <v>1306</v>
      </c>
      <c r="D20" s="61" t="s">
        <v>1356</v>
      </c>
    </row>
    <row r="21" spans="1:4" s="62" customFormat="1" ht="70" customHeight="1">
      <c r="A21" s="61" t="s">
        <v>1357</v>
      </c>
      <c r="B21" s="61" t="s">
        <v>1358</v>
      </c>
      <c r="C21" s="61" t="s">
        <v>1302</v>
      </c>
      <c r="D21" s="61" t="s">
        <v>1359</v>
      </c>
    </row>
    <row r="22" spans="1:4" s="62" customFormat="1" ht="70" customHeight="1">
      <c r="A22" s="61" t="s">
        <v>1360</v>
      </c>
      <c r="B22" s="61" t="s">
        <v>1361</v>
      </c>
      <c r="C22" s="61" t="s">
        <v>1302</v>
      </c>
      <c r="D22" s="61" t="s">
        <v>1362</v>
      </c>
    </row>
    <row r="23" spans="1:4">
      <c r="A23" s="61" t="s">
        <v>1363</v>
      </c>
      <c r="B23" s="61" t="s">
        <v>1364</v>
      </c>
      <c r="C23" s="61" t="s">
        <v>1302</v>
      </c>
      <c r="D23" s="61" t="s">
        <v>1365</v>
      </c>
    </row>
    <row r="24" spans="1:4">
      <c r="A24" s="61" t="s">
        <v>1366</v>
      </c>
      <c r="B24" s="61" t="s">
        <v>1367</v>
      </c>
      <c r="C24" s="61" t="s">
        <v>1302</v>
      </c>
      <c r="D24" s="61" t="s">
        <v>1368</v>
      </c>
    </row>
    <row r="25" spans="1:4">
      <c r="A25" s="61" t="s">
        <v>1369</v>
      </c>
      <c r="B25" s="61" t="s">
        <v>1370</v>
      </c>
      <c r="C25" s="61" t="s">
        <v>1302</v>
      </c>
      <c r="D25" s="61" t="s">
        <v>1371</v>
      </c>
    </row>
    <row r="26" spans="1:4">
      <c r="A26" s="61" t="s">
        <v>1372</v>
      </c>
      <c r="B26" s="61" t="s">
        <v>1373</v>
      </c>
      <c r="C26" s="61" t="s">
        <v>1302</v>
      </c>
      <c r="D26" s="61" t="s">
        <v>1374</v>
      </c>
    </row>
    <row r="27" spans="1:4">
      <c r="A27" s="61" t="s">
        <v>1375</v>
      </c>
      <c r="B27" s="61" t="s">
        <v>1376</v>
      </c>
      <c r="C27" s="61" t="s">
        <v>1302</v>
      </c>
      <c r="D27" s="61" t="s">
        <v>1377</v>
      </c>
    </row>
    <row r="28" spans="1:4">
      <c r="A28" s="61" t="s">
        <v>1378</v>
      </c>
      <c r="B28" s="61" t="s">
        <v>1379</v>
      </c>
      <c r="C28" s="61" t="s">
        <v>1302</v>
      </c>
      <c r="D28" s="61" t="s">
        <v>1380</v>
      </c>
    </row>
    <row r="29" spans="1:4">
      <c r="A29" s="61" t="s">
        <v>1381</v>
      </c>
      <c r="B29" s="61" t="s">
        <v>1382</v>
      </c>
      <c r="C29" s="61" t="s">
        <v>1302</v>
      </c>
      <c r="D29" s="61" t="s">
        <v>1383</v>
      </c>
    </row>
    <row r="30" spans="1:4">
      <c r="A30" s="61" t="s">
        <v>1384</v>
      </c>
      <c r="B30" s="61" t="s">
        <v>1385</v>
      </c>
      <c r="C30" s="61" t="s">
        <v>1302</v>
      </c>
      <c r="D30" s="61" t="s">
        <v>1386</v>
      </c>
    </row>
    <row r="31" spans="1:4">
      <c r="A31" s="61" t="s">
        <v>1387</v>
      </c>
      <c r="B31" s="61" t="s">
        <v>1388</v>
      </c>
      <c r="C31" s="61" t="s">
        <v>1302</v>
      </c>
      <c r="D31" s="61" t="s">
        <v>1389</v>
      </c>
    </row>
    <row r="32" spans="1:4">
      <c r="A32" s="61" t="s">
        <v>1390</v>
      </c>
      <c r="B32" s="61" t="s">
        <v>1391</v>
      </c>
      <c r="C32" s="61" t="s">
        <v>1302</v>
      </c>
      <c r="D32" s="61" t="s">
        <v>1392</v>
      </c>
    </row>
    <row r="33" spans="1:4">
      <c r="A33" s="61" t="s">
        <v>1393</v>
      </c>
      <c r="B33" s="61" t="s">
        <v>1394</v>
      </c>
      <c r="C33" s="84" t="s">
        <v>1395</v>
      </c>
      <c r="D33" s="61"/>
    </row>
    <row r="34" spans="1:4">
      <c r="A34" s="61" t="s">
        <v>1396</v>
      </c>
      <c r="B34" s="61" t="s">
        <v>1397</v>
      </c>
      <c r="C34" s="61" t="s">
        <v>1302</v>
      </c>
      <c r="D34" s="61" t="s">
        <v>1398</v>
      </c>
    </row>
    <row r="35" spans="1:4">
      <c r="A35" s="61" t="s">
        <v>1399</v>
      </c>
      <c r="B35" s="61" t="s">
        <v>1400</v>
      </c>
      <c r="C35" s="61" t="s">
        <v>1302</v>
      </c>
      <c r="D35" s="61" t="s">
        <v>1401</v>
      </c>
    </row>
    <row r="36" spans="1:4">
      <c r="A36" s="61" t="s">
        <v>1402</v>
      </c>
      <c r="B36" s="61" t="s">
        <v>1403</v>
      </c>
      <c r="C36" s="61" t="s">
        <v>1302</v>
      </c>
      <c r="D36" s="61" t="s">
        <v>1404</v>
      </c>
    </row>
    <row r="37" spans="1:4">
      <c r="A37" s="61" t="s">
        <v>1405</v>
      </c>
      <c r="B37" s="61" t="s">
        <v>1406</v>
      </c>
      <c r="C37" s="61" t="s">
        <v>1302</v>
      </c>
      <c r="D37" s="61" t="s">
        <v>1407</v>
      </c>
    </row>
    <row r="38" spans="1:4" s="62" customFormat="1" ht="28" customHeight="1">
      <c r="A38" s="61" t="s">
        <v>1408</v>
      </c>
      <c r="B38" s="61" t="s">
        <v>1409</v>
      </c>
      <c r="C38" s="61" t="s">
        <v>1306</v>
      </c>
      <c r="D38" s="61" t="s">
        <v>1410</v>
      </c>
    </row>
    <row r="39" spans="1:4" s="62" customFormat="1">
      <c r="A39" s="61" t="s">
        <v>1411</v>
      </c>
      <c r="B39" s="61" t="s">
        <v>1412</v>
      </c>
      <c r="C39" s="84" t="s">
        <v>1395</v>
      </c>
      <c r="D39" s="61"/>
    </row>
    <row r="40" spans="1:4" s="62" customFormat="1">
      <c r="A40" s="61" t="s">
        <v>1413</v>
      </c>
      <c r="B40" s="61" t="s">
        <v>1414</v>
      </c>
      <c r="C40" s="84" t="s">
        <v>1395</v>
      </c>
      <c r="D40" s="61"/>
    </row>
    <row r="41" spans="1:4" s="62" customFormat="1">
      <c r="A41" s="61" t="s">
        <v>1415</v>
      </c>
      <c r="B41" s="61" t="s">
        <v>1416</v>
      </c>
      <c r="C41" s="84" t="s">
        <v>1395</v>
      </c>
      <c r="D41" s="61"/>
    </row>
    <row r="42" spans="1:4" s="62" customFormat="1">
      <c r="A42" s="61" t="s">
        <v>1417</v>
      </c>
      <c r="B42" s="61" t="s">
        <v>1418</v>
      </c>
      <c r="C42" s="84" t="s">
        <v>1395</v>
      </c>
      <c r="D42" s="61"/>
    </row>
    <row r="43" spans="1:4" s="62" customFormat="1">
      <c r="A43" s="61" t="s">
        <v>1419</v>
      </c>
      <c r="B43" s="61" t="s">
        <v>1420</v>
      </c>
      <c r="C43" s="84" t="s">
        <v>1395</v>
      </c>
      <c r="D43" s="61"/>
    </row>
    <row r="44" spans="1:4" s="62" customFormat="1">
      <c r="A44" s="61" t="s">
        <v>1421</v>
      </c>
      <c r="B44" s="61" t="s">
        <v>1422</v>
      </c>
      <c r="C44" s="84" t="s">
        <v>1395</v>
      </c>
      <c r="D44" s="61"/>
    </row>
  </sheetData>
  <pageMargins left="0.7" right="0.7" top="0.75" bottom="0.75" header="0.3" footer="0.3"/>
  <pageSetup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8" tint="0.39997558519241921"/>
  </sheetPr>
  <dimension ref="A1:I14"/>
  <sheetViews>
    <sheetView workbookViewId="0">
      <pane xSplit="4" ySplit="1" topLeftCell="E2" activePane="bottomRight" state="frozen"/>
      <selection pane="topRight" activeCell="D121" sqref="D121:F121"/>
      <selection pane="bottomLeft" activeCell="D121" sqref="D121:F121"/>
      <selection pane="bottomRight" activeCell="I21" sqref="I21"/>
    </sheetView>
  </sheetViews>
  <sheetFormatPr defaultRowHeight="14.5"/>
  <cols>
    <col min="1" max="1" width="8.453125" style="3" bestFit="1" customWidth="1"/>
    <col min="2" max="2" width="8.453125" style="3" customWidth="1"/>
    <col min="3" max="3" width="4.7265625" style="3" customWidth="1"/>
    <col min="4" max="4" width="42.1796875" style="5" customWidth="1"/>
    <col min="5" max="5" width="8.453125" style="5" customWidth="1"/>
    <col min="6" max="6" width="14" style="5" customWidth="1"/>
    <col min="7" max="7" width="60.81640625" style="42" bestFit="1" customWidth="1"/>
    <col min="8" max="8" width="14" style="42" customWidth="1"/>
    <col min="9" max="9" width="10.54296875" style="5" bestFit="1" customWidth="1"/>
  </cols>
  <sheetData>
    <row r="1" spans="1:7">
      <c r="A1" s="6" t="s">
        <v>0</v>
      </c>
      <c r="B1" s="6" t="s">
        <v>1</v>
      </c>
      <c r="C1" s="6" t="s">
        <v>2</v>
      </c>
      <c r="D1" s="4" t="s">
        <v>3</v>
      </c>
      <c r="E1" s="4" t="s">
        <v>4</v>
      </c>
      <c r="F1" s="6" t="s">
        <v>5</v>
      </c>
      <c r="G1" s="4" t="s">
        <v>6</v>
      </c>
    </row>
    <row r="2" spans="1:7">
      <c r="A2" s="107">
        <v>128</v>
      </c>
      <c r="B2" s="108" t="str">
        <f>DEC2HEX(A2)</f>
        <v>80</v>
      </c>
      <c r="C2" s="18" t="s">
        <v>7</v>
      </c>
      <c r="D2" s="9" t="s">
        <v>8</v>
      </c>
      <c r="E2" s="8" t="s">
        <v>9</v>
      </c>
      <c r="F2" s="46" t="s">
        <v>10</v>
      </c>
      <c r="G2" s="9"/>
    </row>
    <row r="3" spans="1:7">
      <c r="A3" s="105"/>
      <c r="B3" s="105"/>
      <c r="C3" s="18">
        <v>2</v>
      </c>
      <c r="D3" s="9" t="s">
        <v>11</v>
      </c>
      <c r="E3" s="8" t="s">
        <v>9</v>
      </c>
      <c r="F3" s="46" t="s">
        <v>12</v>
      </c>
      <c r="G3" s="9"/>
    </row>
    <row r="4" spans="1:7">
      <c r="A4" s="106"/>
      <c r="B4" s="106"/>
      <c r="C4" s="18" t="s">
        <v>13</v>
      </c>
      <c r="D4" s="9" t="s">
        <v>14</v>
      </c>
      <c r="E4" s="8" t="s">
        <v>9</v>
      </c>
      <c r="F4" s="46" t="s">
        <v>15</v>
      </c>
      <c r="G4" s="9"/>
    </row>
    <row r="5" spans="1:7">
      <c r="A5" s="18" t="s">
        <v>16</v>
      </c>
      <c r="B5" s="18" t="s">
        <v>17</v>
      </c>
      <c r="C5" s="18" t="s">
        <v>18</v>
      </c>
      <c r="D5" s="9" t="s">
        <v>19</v>
      </c>
      <c r="E5" s="8" t="s">
        <v>9</v>
      </c>
      <c r="F5" s="46" t="s">
        <v>20</v>
      </c>
      <c r="G5" s="9"/>
    </row>
    <row r="6" spans="1:7">
      <c r="A6" s="18" t="s">
        <v>21</v>
      </c>
      <c r="B6" s="18" t="s">
        <v>22</v>
      </c>
      <c r="C6" s="7" t="s">
        <v>18</v>
      </c>
      <c r="D6" s="9" t="s">
        <v>8</v>
      </c>
      <c r="E6" s="8" t="s">
        <v>9</v>
      </c>
      <c r="F6" s="46" t="s">
        <v>23</v>
      </c>
      <c r="G6" s="9"/>
    </row>
    <row r="7" spans="1:7">
      <c r="A7" s="104">
        <v>144</v>
      </c>
      <c r="B7" s="104" t="str">
        <f>DEC2HEX(A7)</f>
        <v>90</v>
      </c>
      <c r="C7" s="7">
        <v>7</v>
      </c>
      <c r="D7" s="9" t="s">
        <v>24</v>
      </c>
      <c r="E7" s="9" t="s">
        <v>25</v>
      </c>
      <c r="F7" s="46" t="s">
        <v>12</v>
      </c>
      <c r="G7" s="9"/>
    </row>
    <row r="8" spans="1:7">
      <c r="A8" s="105"/>
      <c r="B8" s="105"/>
      <c r="C8" s="7">
        <v>6</v>
      </c>
      <c r="D8" s="9" t="s">
        <v>26</v>
      </c>
      <c r="E8" s="9" t="s">
        <v>27</v>
      </c>
      <c r="F8" s="46" t="s">
        <v>12</v>
      </c>
      <c r="G8" s="9"/>
    </row>
    <row r="9" spans="1:7" ht="72.650000000000006" customHeight="1">
      <c r="A9" s="105"/>
      <c r="B9" s="105"/>
      <c r="C9" s="95" t="s">
        <v>28</v>
      </c>
      <c r="D9" s="93" t="s">
        <v>29</v>
      </c>
      <c r="E9" s="93" t="s">
        <v>25</v>
      </c>
      <c r="F9" s="90" t="s">
        <v>30</v>
      </c>
      <c r="G9" s="94" t="s">
        <v>31</v>
      </c>
    </row>
    <row r="10" spans="1:7">
      <c r="A10" s="106"/>
      <c r="B10" s="106"/>
      <c r="C10" s="18" t="s">
        <v>13</v>
      </c>
      <c r="D10" s="9" t="s">
        <v>8</v>
      </c>
      <c r="E10" s="8" t="s">
        <v>9</v>
      </c>
      <c r="F10" s="46" t="s">
        <v>32</v>
      </c>
      <c r="G10" s="9"/>
    </row>
    <row r="11" spans="1:7">
      <c r="A11" s="107">
        <v>145</v>
      </c>
      <c r="B11" s="107" t="str">
        <f>DEC2HEX(A11)</f>
        <v>91</v>
      </c>
      <c r="C11" s="7">
        <v>7</v>
      </c>
      <c r="D11" s="9" t="s">
        <v>33</v>
      </c>
      <c r="E11" s="8" t="s">
        <v>9</v>
      </c>
      <c r="F11" s="46" t="s">
        <v>12</v>
      </c>
      <c r="G11" s="9"/>
    </row>
    <row r="12" spans="1:7">
      <c r="A12" s="105"/>
      <c r="B12" s="105"/>
      <c r="C12" s="7">
        <v>6</v>
      </c>
      <c r="D12" s="9" t="s">
        <v>34</v>
      </c>
      <c r="E12" s="8" t="s">
        <v>9</v>
      </c>
      <c r="F12" s="46" t="s">
        <v>12</v>
      </c>
      <c r="G12" s="9"/>
    </row>
    <row r="13" spans="1:7">
      <c r="A13" s="106"/>
      <c r="B13" s="106"/>
      <c r="C13" s="18" t="s">
        <v>35</v>
      </c>
      <c r="D13" s="9" t="s">
        <v>8</v>
      </c>
      <c r="E13" s="8" t="s">
        <v>9</v>
      </c>
      <c r="F13" s="46" t="s">
        <v>36</v>
      </c>
      <c r="G13" s="9"/>
    </row>
    <row r="14" spans="1:7">
      <c r="A14" s="18" t="s">
        <v>37</v>
      </c>
      <c r="B14" s="18" t="s">
        <v>38</v>
      </c>
      <c r="C14" s="7" t="s">
        <v>18</v>
      </c>
      <c r="D14" s="9" t="s">
        <v>8</v>
      </c>
      <c r="E14" s="8" t="s">
        <v>9</v>
      </c>
      <c r="F14" s="46" t="s">
        <v>39</v>
      </c>
      <c r="G14" s="9"/>
    </row>
  </sheetData>
  <mergeCells count="6">
    <mergeCell ref="A7:A10"/>
    <mergeCell ref="A2:A4"/>
    <mergeCell ref="A11:A13"/>
    <mergeCell ref="B11:B13"/>
    <mergeCell ref="B7:B10"/>
    <mergeCell ref="B2:B4"/>
  </mergeCells>
  <pageMargins left="0.7" right="0.7" top="0.75" bottom="0.75" header="0.3" footer="0.3"/>
  <pageSetup paperSize="9"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8" tint="0.39997558519241921"/>
  </sheetPr>
  <dimension ref="A1:I455"/>
  <sheetViews>
    <sheetView workbookViewId="0">
      <pane ySplit="1" topLeftCell="A2" activePane="bottomLeft" state="frozen"/>
      <selection pane="bottomLeft"/>
    </sheetView>
  </sheetViews>
  <sheetFormatPr defaultRowHeight="14.5"/>
  <cols>
    <col min="1" max="1" width="8.453125" style="3" bestFit="1" customWidth="1"/>
    <col min="2" max="2" width="8.453125" style="3" customWidth="1"/>
    <col min="3" max="3" width="4.7265625" style="3" customWidth="1"/>
    <col min="4" max="4" width="42.1796875" style="5" customWidth="1"/>
    <col min="5" max="5" width="8.453125" style="5" customWidth="1"/>
    <col min="6" max="6" width="14" style="5" customWidth="1"/>
    <col min="7" max="7" width="60.81640625" style="42" bestFit="1" customWidth="1"/>
    <col min="8" max="8" width="14" style="42" customWidth="1"/>
    <col min="9" max="9" width="10.54296875" style="5" bestFit="1" customWidth="1"/>
  </cols>
  <sheetData>
    <row r="1" spans="1:8">
      <c r="A1" s="97" t="s">
        <v>0</v>
      </c>
      <c r="B1" s="97" t="s">
        <v>1</v>
      </c>
      <c r="C1" s="97" t="s">
        <v>362</v>
      </c>
      <c r="D1" s="98" t="s">
        <v>2</v>
      </c>
      <c r="E1" s="98" t="s">
        <v>3</v>
      </c>
      <c r="F1" s="97" t="s">
        <v>4</v>
      </c>
      <c r="G1" s="98" t="s">
        <v>5</v>
      </c>
      <c r="H1" t="s">
        <v>6</v>
      </c>
    </row>
    <row r="2" spans="1:8" ht="29">
      <c r="A2" s="99" t="s">
        <v>1423</v>
      </c>
      <c r="B2" s="99" t="str">
        <f t="shared" ref="B2:B65" si="0">DEC2HEX(A2, 2)</f>
        <v>80</v>
      </c>
      <c r="C2" s="99">
        <v>1</v>
      </c>
      <c r="D2" s="100" t="s">
        <v>1424</v>
      </c>
      <c r="E2" s="101" t="s">
        <v>1425</v>
      </c>
      <c r="F2" s="102" t="s">
        <v>217</v>
      </c>
      <c r="G2" s="100" t="s">
        <v>12</v>
      </c>
      <c r="H2" t="s">
        <v>1426</v>
      </c>
    </row>
    <row r="3" spans="1:8" ht="29">
      <c r="A3" s="103" t="s">
        <v>1423</v>
      </c>
      <c r="B3" s="103" t="str">
        <f t="shared" si="0"/>
        <v>80</v>
      </c>
      <c r="C3" s="99">
        <v>1</v>
      </c>
      <c r="D3" s="100" t="s">
        <v>1427</v>
      </c>
      <c r="E3" s="101" t="s">
        <v>1428</v>
      </c>
      <c r="F3" s="102" t="s">
        <v>217</v>
      </c>
      <c r="G3" s="100" t="s">
        <v>12</v>
      </c>
      <c r="H3" t="s">
        <v>1426</v>
      </c>
    </row>
    <row r="4" spans="1:8" ht="29">
      <c r="A4" s="103" t="s">
        <v>1423</v>
      </c>
      <c r="B4" s="103" t="str">
        <f t="shared" si="0"/>
        <v>80</v>
      </c>
      <c r="C4" s="99">
        <v>1</v>
      </c>
      <c r="D4" s="100" t="s">
        <v>1429</v>
      </c>
      <c r="E4" s="101" t="s">
        <v>1430</v>
      </c>
      <c r="F4" s="102" t="s">
        <v>217</v>
      </c>
      <c r="G4" s="100" t="s">
        <v>12</v>
      </c>
      <c r="H4" t="s">
        <v>1426</v>
      </c>
    </row>
    <row r="5" spans="1:8" ht="29">
      <c r="A5" s="103" t="s">
        <v>1423</v>
      </c>
      <c r="B5" s="103" t="str">
        <f t="shared" si="0"/>
        <v>80</v>
      </c>
      <c r="C5" s="99">
        <v>1</v>
      </c>
      <c r="D5" s="100" t="s">
        <v>1431</v>
      </c>
      <c r="E5" s="101" t="s">
        <v>1432</v>
      </c>
      <c r="F5" s="102" t="s">
        <v>217</v>
      </c>
      <c r="G5" s="100" t="s">
        <v>12</v>
      </c>
      <c r="H5" t="s">
        <v>1426</v>
      </c>
    </row>
    <row r="6" spans="1:8" ht="29">
      <c r="A6" s="103" t="s">
        <v>1423</v>
      </c>
      <c r="B6" s="103" t="str">
        <f t="shared" si="0"/>
        <v>80</v>
      </c>
      <c r="C6" s="99">
        <v>1</v>
      </c>
      <c r="D6" s="100" t="s">
        <v>1433</v>
      </c>
      <c r="E6" s="101" t="s">
        <v>1434</v>
      </c>
      <c r="F6" s="102" t="s">
        <v>217</v>
      </c>
      <c r="G6" s="100" t="s">
        <v>12</v>
      </c>
      <c r="H6" t="s">
        <v>1426</v>
      </c>
    </row>
    <row r="7" spans="1:8" ht="29">
      <c r="A7" s="103" t="s">
        <v>1423</v>
      </c>
      <c r="B7" s="103" t="str">
        <f t="shared" si="0"/>
        <v>80</v>
      </c>
      <c r="C7" s="99">
        <v>1</v>
      </c>
      <c r="D7" s="100" t="s">
        <v>1435</v>
      </c>
      <c r="E7" s="101" t="s">
        <v>1436</v>
      </c>
      <c r="F7" s="102" t="s">
        <v>217</v>
      </c>
      <c r="G7" s="100" t="s">
        <v>12</v>
      </c>
      <c r="H7" t="s">
        <v>1426</v>
      </c>
    </row>
    <row r="8" spans="1:8" ht="29">
      <c r="A8" s="103" t="s">
        <v>1423</v>
      </c>
      <c r="B8" s="103" t="str">
        <f t="shared" si="0"/>
        <v>80</v>
      </c>
      <c r="C8" s="99">
        <v>1</v>
      </c>
      <c r="D8" s="100" t="s">
        <v>1437</v>
      </c>
      <c r="E8" s="101" t="s">
        <v>1438</v>
      </c>
      <c r="F8" s="102" t="s">
        <v>217</v>
      </c>
      <c r="G8" s="100" t="s">
        <v>12</v>
      </c>
      <c r="H8" t="s">
        <v>1426</v>
      </c>
    </row>
    <row r="9" spans="1:8" ht="72.650000000000006" customHeight="1">
      <c r="A9" s="103" t="s">
        <v>1423</v>
      </c>
      <c r="B9" s="103" t="str">
        <f t="shared" si="0"/>
        <v>80</v>
      </c>
      <c r="C9" s="99">
        <v>1</v>
      </c>
      <c r="D9" s="100" t="s">
        <v>1439</v>
      </c>
      <c r="E9" s="101" t="s">
        <v>1440</v>
      </c>
      <c r="F9" s="102" t="s">
        <v>217</v>
      </c>
      <c r="G9" s="100" t="s">
        <v>12</v>
      </c>
      <c r="H9" t="s">
        <v>1426</v>
      </c>
    </row>
    <row r="10" spans="1:8" ht="43.5">
      <c r="A10" s="103" t="s">
        <v>1441</v>
      </c>
      <c r="B10" s="103" t="str">
        <f t="shared" si="0"/>
        <v>81</v>
      </c>
      <c r="C10" s="99">
        <v>1</v>
      </c>
      <c r="D10" s="100" t="s">
        <v>1424</v>
      </c>
      <c r="E10" s="101" t="s">
        <v>1442</v>
      </c>
      <c r="F10" s="102" t="s">
        <v>27</v>
      </c>
      <c r="G10" s="100" t="s">
        <v>12</v>
      </c>
      <c r="H10" t="s">
        <v>1443</v>
      </c>
    </row>
    <row r="11" spans="1:8" ht="43.5">
      <c r="A11" s="103" t="s">
        <v>1441</v>
      </c>
      <c r="B11" s="103" t="str">
        <f t="shared" si="0"/>
        <v>81</v>
      </c>
      <c r="C11" s="99">
        <v>1</v>
      </c>
      <c r="D11" s="100" t="s">
        <v>1427</v>
      </c>
      <c r="E11" s="101" t="s">
        <v>1444</v>
      </c>
      <c r="F11" s="102" t="s">
        <v>27</v>
      </c>
      <c r="G11" s="100" t="s">
        <v>12</v>
      </c>
      <c r="H11" t="s">
        <v>1443</v>
      </c>
    </row>
    <row r="12" spans="1:8" ht="43.5">
      <c r="A12" s="103" t="s">
        <v>1441</v>
      </c>
      <c r="B12" s="103" t="str">
        <f t="shared" si="0"/>
        <v>81</v>
      </c>
      <c r="C12" s="99">
        <v>1</v>
      </c>
      <c r="D12" s="100" t="s">
        <v>1429</v>
      </c>
      <c r="E12" s="101" t="s">
        <v>1445</v>
      </c>
      <c r="F12" s="102" t="s">
        <v>27</v>
      </c>
      <c r="G12" s="100" t="s">
        <v>12</v>
      </c>
      <c r="H12" t="s">
        <v>1443</v>
      </c>
    </row>
    <row r="13" spans="1:8" ht="43.5">
      <c r="A13" s="103" t="s">
        <v>1441</v>
      </c>
      <c r="B13" s="103" t="str">
        <f t="shared" si="0"/>
        <v>81</v>
      </c>
      <c r="C13" s="99">
        <v>1</v>
      </c>
      <c r="D13" s="100" t="s">
        <v>1431</v>
      </c>
      <c r="E13" s="101" t="s">
        <v>1446</v>
      </c>
      <c r="F13" s="102" t="s">
        <v>27</v>
      </c>
      <c r="G13" s="100" t="s">
        <v>12</v>
      </c>
      <c r="H13" t="s">
        <v>1443</v>
      </c>
    </row>
    <row r="14" spans="1:8" ht="43.5">
      <c r="A14" s="103" t="s">
        <v>1441</v>
      </c>
      <c r="B14" s="103" t="str">
        <f t="shared" si="0"/>
        <v>81</v>
      </c>
      <c r="C14" s="99">
        <v>1</v>
      </c>
      <c r="D14" s="100" t="s">
        <v>1433</v>
      </c>
      <c r="E14" s="101" t="s">
        <v>1447</v>
      </c>
      <c r="F14" s="102" t="s">
        <v>27</v>
      </c>
      <c r="G14" s="100" t="s">
        <v>12</v>
      </c>
      <c r="H14" t="s">
        <v>1443</v>
      </c>
    </row>
    <row r="15" spans="1:8" ht="43.5">
      <c r="A15" s="103" t="s">
        <v>1441</v>
      </c>
      <c r="B15" s="103" t="str">
        <f t="shared" si="0"/>
        <v>81</v>
      </c>
      <c r="C15" s="99">
        <v>1</v>
      </c>
      <c r="D15" s="100" t="s">
        <v>1435</v>
      </c>
      <c r="E15" s="101" t="s">
        <v>1448</v>
      </c>
      <c r="F15" s="102" t="s">
        <v>27</v>
      </c>
      <c r="G15" s="100" t="s">
        <v>12</v>
      </c>
      <c r="H15" t="s">
        <v>1443</v>
      </c>
    </row>
    <row r="16" spans="1:8" ht="43.5">
      <c r="A16" s="103" t="s">
        <v>1441</v>
      </c>
      <c r="B16" s="103" t="str">
        <f t="shared" si="0"/>
        <v>81</v>
      </c>
      <c r="C16" s="99">
        <v>1</v>
      </c>
      <c r="D16" s="100" t="s">
        <v>1437</v>
      </c>
      <c r="E16" s="101" t="s">
        <v>1449</v>
      </c>
      <c r="F16" s="102" t="s">
        <v>27</v>
      </c>
      <c r="G16" s="100" t="s">
        <v>12</v>
      </c>
      <c r="H16" t="s">
        <v>1443</v>
      </c>
    </row>
    <row r="17" spans="1:8" ht="43.5">
      <c r="A17" s="103" t="s">
        <v>1441</v>
      </c>
      <c r="B17" s="103" t="str">
        <f t="shared" si="0"/>
        <v>81</v>
      </c>
      <c r="C17" s="99">
        <v>1</v>
      </c>
      <c r="D17" s="100" t="s">
        <v>1439</v>
      </c>
      <c r="E17" s="101" t="s">
        <v>1450</v>
      </c>
      <c r="F17" s="102" t="s">
        <v>27</v>
      </c>
      <c r="G17" s="100" t="s">
        <v>12</v>
      </c>
      <c r="H17" t="s">
        <v>1443</v>
      </c>
    </row>
    <row r="18" spans="1:8" ht="29">
      <c r="A18" s="103" t="s">
        <v>1451</v>
      </c>
      <c r="B18" s="103" t="str">
        <f t="shared" si="0"/>
        <v>82</v>
      </c>
      <c r="C18" s="99">
        <v>1</v>
      </c>
      <c r="D18" s="100" t="s">
        <v>1424</v>
      </c>
      <c r="E18" s="101" t="s">
        <v>1452</v>
      </c>
      <c r="F18" s="102" t="s">
        <v>27</v>
      </c>
      <c r="G18" s="100" t="s">
        <v>12</v>
      </c>
      <c r="H18" t="s">
        <v>1453</v>
      </c>
    </row>
    <row r="19" spans="1:8" ht="29">
      <c r="A19" s="103" t="s">
        <v>1451</v>
      </c>
      <c r="B19" s="103" t="str">
        <f t="shared" si="0"/>
        <v>82</v>
      </c>
      <c r="C19" s="99">
        <v>1</v>
      </c>
      <c r="D19" s="100" t="s">
        <v>1427</v>
      </c>
      <c r="E19" s="101" t="s">
        <v>1454</v>
      </c>
      <c r="F19" s="102" t="s">
        <v>27</v>
      </c>
      <c r="G19" s="100" t="s">
        <v>12</v>
      </c>
      <c r="H19" t="s">
        <v>1453</v>
      </c>
    </row>
    <row r="20" spans="1:8" ht="29">
      <c r="A20" s="103" t="s">
        <v>1451</v>
      </c>
      <c r="B20" s="103" t="str">
        <f t="shared" si="0"/>
        <v>82</v>
      </c>
      <c r="C20" s="99">
        <v>1</v>
      </c>
      <c r="D20" s="100" t="s">
        <v>1429</v>
      </c>
      <c r="E20" s="101" t="s">
        <v>1455</v>
      </c>
      <c r="F20" s="102" t="s">
        <v>27</v>
      </c>
      <c r="G20" s="100" t="s">
        <v>12</v>
      </c>
      <c r="H20" t="s">
        <v>1453</v>
      </c>
    </row>
    <row r="21" spans="1:8" ht="29">
      <c r="A21" s="103" t="s">
        <v>1451</v>
      </c>
      <c r="B21" s="103" t="str">
        <f t="shared" si="0"/>
        <v>82</v>
      </c>
      <c r="C21" s="99">
        <v>1</v>
      </c>
      <c r="D21" s="100" t="s">
        <v>1431</v>
      </c>
      <c r="E21" s="101" t="s">
        <v>1456</v>
      </c>
      <c r="F21" s="102" t="s">
        <v>27</v>
      </c>
      <c r="G21" s="100" t="s">
        <v>12</v>
      </c>
      <c r="H21" t="s">
        <v>1453</v>
      </c>
    </row>
    <row r="22" spans="1:8" ht="29">
      <c r="A22" s="103" t="s">
        <v>1451</v>
      </c>
      <c r="B22" s="103" t="str">
        <f t="shared" si="0"/>
        <v>82</v>
      </c>
      <c r="C22" s="99">
        <v>1</v>
      </c>
      <c r="D22" s="100" t="s">
        <v>1433</v>
      </c>
      <c r="E22" s="101" t="s">
        <v>1457</v>
      </c>
      <c r="F22" s="102" t="s">
        <v>27</v>
      </c>
      <c r="G22" s="100" t="s">
        <v>12</v>
      </c>
      <c r="H22" t="s">
        <v>1453</v>
      </c>
    </row>
    <row r="23" spans="1:8" ht="29">
      <c r="A23" s="103" t="s">
        <v>1451</v>
      </c>
      <c r="B23" s="103" t="str">
        <f t="shared" si="0"/>
        <v>82</v>
      </c>
      <c r="C23" s="99">
        <v>1</v>
      </c>
      <c r="D23" s="100" t="s">
        <v>1435</v>
      </c>
      <c r="E23" s="101" t="s">
        <v>1458</v>
      </c>
      <c r="F23" s="102" t="s">
        <v>27</v>
      </c>
      <c r="G23" s="100" t="s">
        <v>12</v>
      </c>
      <c r="H23" t="s">
        <v>1453</v>
      </c>
    </row>
    <row r="24" spans="1:8" ht="29">
      <c r="A24" s="103" t="s">
        <v>1451</v>
      </c>
      <c r="B24" s="103" t="str">
        <f t="shared" si="0"/>
        <v>82</v>
      </c>
      <c r="C24" s="99">
        <v>1</v>
      </c>
      <c r="D24" s="100" t="s">
        <v>1437</v>
      </c>
      <c r="E24" s="101" t="s">
        <v>1459</v>
      </c>
      <c r="F24" s="102" t="s">
        <v>27</v>
      </c>
      <c r="G24" s="100" t="s">
        <v>12</v>
      </c>
      <c r="H24" t="s">
        <v>1453</v>
      </c>
    </row>
    <row r="25" spans="1:8" ht="29">
      <c r="A25" s="103" t="s">
        <v>1451</v>
      </c>
      <c r="B25" s="103" t="str">
        <f t="shared" si="0"/>
        <v>82</v>
      </c>
      <c r="C25" s="99">
        <v>1</v>
      </c>
      <c r="D25" s="100" t="s">
        <v>1439</v>
      </c>
      <c r="E25" s="101" t="s">
        <v>1460</v>
      </c>
      <c r="F25" s="102" t="s">
        <v>27</v>
      </c>
      <c r="G25" s="100" t="s">
        <v>12</v>
      </c>
      <c r="H25" t="s">
        <v>1453</v>
      </c>
    </row>
    <row r="26" spans="1:8" ht="43.5">
      <c r="A26" s="103" t="s">
        <v>1461</v>
      </c>
      <c r="B26" s="103" t="str">
        <f t="shared" si="0"/>
        <v>83</v>
      </c>
      <c r="C26" s="99">
        <v>1</v>
      </c>
      <c r="D26" s="100" t="s">
        <v>1424</v>
      </c>
      <c r="E26" s="101" t="s">
        <v>1462</v>
      </c>
      <c r="F26" s="102" t="s">
        <v>27</v>
      </c>
      <c r="G26" s="100" t="s">
        <v>12</v>
      </c>
      <c r="H26" t="s">
        <v>1463</v>
      </c>
    </row>
    <row r="27" spans="1:8" ht="43.5">
      <c r="A27" s="103" t="s">
        <v>1461</v>
      </c>
      <c r="B27" s="103" t="str">
        <f t="shared" si="0"/>
        <v>83</v>
      </c>
      <c r="C27" s="99">
        <v>1</v>
      </c>
      <c r="D27" s="100" t="s">
        <v>1427</v>
      </c>
      <c r="E27" s="101" t="s">
        <v>1464</v>
      </c>
      <c r="F27" s="102" t="s">
        <v>27</v>
      </c>
      <c r="G27" s="100" t="s">
        <v>12</v>
      </c>
      <c r="H27" t="s">
        <v>1463</v>
      </c>
    </row>
    <row r="28" spans="1:8" ht="43.5">
      <c r="A28" s="103" t="s">
        <v>1461</v>
      </c>
      <c r="B28" s="103" t="str">
        <f t="shared" si="0"/>
        <v>83</v>
      </c>
      <c r="C28" s="99">
        <v>1</v>
      </c>
      <c r="D28" s="100" t="s">
        <v>1429</v>
      </c>
      <c r="E28" s="101" t="s">
        <v>1465</v>
      </c>
      <c r="F28" s="102" t="s">
        <v>27</v>
      </c>
      <c r="G28" s="100" t="s">
        <v>12</v>
      </c>
      <c r="H28" t="s">
        <v>1463</v>
      </c>
    </row>
    <row r="29" spans="1:8" ht="43.5">
      <c r="A29" s="103" t="s">
        <v>1461</v>
      </c>
      <c r="B29" s="103" t="str">
        <f t="shared" si="0"/>
        <v>83</v>
      </c>
      <c r="C29" s="99">
        <v>1</v>
      </c>
      <c r="D29" s="100" t="s">
        <v>1431</v>
      </c>
      <c r="E29" s="101" t="s">
        <v>1466</v>
      </c>
      <c r="F29" s="102" t="s">
        <v>27</v>
      </c>
      <c r="G29" s="100" t="s">
        <v>12</v>
      </c>
      <c r="H29" t="s">
        <v>1463</v>
      </c>
    </row>
    <row r="30" spans="1:8" ht="43.5">
      <c r="A30" s="103" t="s">
        <v>1461</v>
      </c>
      <c r="B30" s="103" t="str">
        <f t="shared" si="0"/>
        <v>83</v>
      </c>
      <c r="C30" s="99">
        <v>1</v>
      </c>
      <c r="D30" s="100" t="s">
        <v>1433</v>
      </c>
      <c r="E30" s="101" t="s">
        <v>1467</v>
      </c>
      <c r="F30" s="102" t="s">
        <v>27</v>
      </c>
      <c r="G30" s="100" t="s">
        <v>12</v>
      </c>
      <c r="H30" t="s">
        <v>1463</v>
      </c>
    </row>
    <row r="31" spans="1:8" ht="43.5">
      <c r="A31" s="103" t="s">
        <v>1461</v>
      </c>
      <c r="B31" s="103" t="str">
        <f t="shared" si="0"/>
        <v>83</v>
      </c>
      <c r="C31" s="99">
        <v>1</v>
      </c>
      <c r="D31" s="100" t="s">
        <v>1435</v>
      </c>
      <c r="E31" s="101" t="s">
        <v>1468</v>
      </c>
      <c r="F31" s="102" t="s">
        <v>27</v>
      </c>
      <c r="G31" s="100" t="s">
        <v>12</v>
      </c>
      <c r="H31" t="s">
        <v>1463</v>
      </c>
    </row>
    <row r="32" spans="1:8" ht="43.5">
      <c r="A32" s="103" t="s">
        <v>1461</v>
      </c>
      <c r="B32" s="103" t="str">
        <f t="shared" si="0"/>
        <v>83</v>
      </c>
      <c r="C32" s="99">
        <v>1</v>
      </c>
      <c r="D32" s="100" t="s">
        <v>1437</v>
      </c>
      <c r="E32" s="101" t="s">
        <v>1469</v>
      </c>
      <c r="F32" s="102" t="s">
        <v>27</v>
      </c>
      <c r="G32" s="100" t="s">
        <v>12</v>
      </c>
      <c r="H32" t="s">
        <v>1463</v>
      </c>
    </row>
    <row r="33" spans="1:8" ht="43.5">
      <c r="A33" s="103" t="s">
        <v>1461</v>
      </c>
      <c r="B33" s="103" t="str">
        <f t="shared" si="0"/>
        <v>83</v>
      </c>
      <c r="C33" s="99">
        <v>1</v>
      </c>
      <c r="D33" s="100" t="s">
        <v>1439</v>
      </c>
      <c r="E33" s="101" t="s">
        <v>1470</v>
      </c>
      <c r="F33" s="102" t="s">
        <v>27</v>
      </c>
      <c r="G33" s="100" t="s">
        <v>137</v>
      </c>
      <c r="H33" t="s">
        <v>1463</v>
      </c>
    </row>
    <row r="34" spans="1:8" ht="43.5">
      <c r="A34" s="103" t="s">
        <v>1471</v>
      </c>
      <c r="B34" s="103" t="str">
        <f t="shared" si="0"/>
        <v>84</v>
      </c>
      <c r="C34" s="99">
        <v>1</v>
      </c>
      <c r="D34" s="100" t="s">
        <v>1424</v>
      </c>
      <c r="E34" s="101" t="s">
        <v>1472</v>
      </c>
      <c r="F34" s="102" t="s">
        <v>27</v>
      </c>
      <c r="G34" s="100" t="s">
        <v>12</v>
      </c>
      <c r="H34" t="s">
        <v>1473</v>
      </c>
    </row>
    <row r="35" spans="1:8" ht="43.5">
      <c r="A35" s="103" t="s">
        <v>1471</v>
      </c>
      <c r="B35" s="103" t="str">
        <f t="shared" si="0"/>
        <v>84</v>
      </c>
      <c r="C35" s="99">
        <v>1</v>
      </c>
      <c r="D35" s="100" t="s">
        <v>1427</v>
      </c>
      <c r="E35" s="101" t="s">
        <v>1474</v>
      </c>
      <c r="F35" s="102" t="s">
        <v>27</v>
      </c>
      <c r="G35" s="100" t="s">
        <v>12</v>
      </c>
      <c r="H35" t="s">
        <v>1473</v>
      </c>
    </row>
    <row r="36" spans="1:8" ht="43.5">
      <c r="A36" s="103" t="s">
        <v>1471</v>
      </c>
      <c r="B36" s="103" t="str">
        <f t="shared" si="0"/>
        <v>84</v>
      </c>
      <c r="C36" s="99">
        <v>1</v>
      </c>
      <c r="D36" s="100" t="s">
        <v>1429</v>
      </c>
      <c r="E36" s="101" t="s">
        <v>1475</v>
      </c>
      <c r="F36" s="102" t="s">
        <v>27</v>
      </c>
      <c r="G36" s="100" t="s">
        <v>12</v>
      </c>
      <c r="H36" t="s">
        <v>1473</v>
      </c>
    </row>
    <row r="37" spans="1:8" ht="43.5">
      <c r="A37" s="103" t="s">
        <v>1471</v>
      </c>
      <c r="B37" s="103" t="str">
        <f t="shared" si="0"/>
        <v>84</v>
      </c>
      <c r="C37" s="99">
        <v>1</v>
      </c>
      <c r="D37" s="100" t="s">
        <v>1431</v>
      </c>
      <c r="E37" s="101" t="s">
        <v>1476</v>
      </c>
      <c r="F37" s="102" t="s">
        <v>27</v>
      </c>
      <c r="G37" s="100" t="s">
        <v>12</v>
      </c>
      <c r="H37" t="s">
        <v>1473</v>
      </c>
    </row>
    <row r="38" spans="1:8" ht="43.5">
      <c r="A38" s="103" t="s">
        <v>1471</v>
      </c>
      <c r="B38" s="103" t="str">
        <f t="shared" si="0"/>
        <v>84</v>
      </c>
      <c r="C38" s="99">
        <v>1</v>
      </c>
      <c r="D38" s="100" t="s">
        <v>1433</v>
      </c>
      <c r="E38" s="101" t="s">
        <v>1477</v>
      </c>
      <c r="F38" s="102" t="s">
        <v>27</v>
      </c>
      <c r="G38" s="100" t="s">
        <v>12</v>
      </c>
      <c r="H38" t="s">
        <v>1473</v>
      </c>
    </row>
    <row r="39" spans="1:8" ht="43.5">
      <c r="A39" s="103" t="s">
        <v>1471</v>
      </c>
      <c r="B39" s="103" t="str">
        <f t="shared" si="0"/>
        <v>84</v>
      </c>
      <c r="C39" s="99">
        <v>1</v>
      </c>
      <c r="D39" s="100" t="s">
        <v>1435</v>
      </c>
      <c r="E39" s="101" t="s">
        <v>1478</v>
      </c>
      <c r="F39" s="102" t="s">
        <v>27</v>
      </c>
      <c r="G39" s="100" t="s">
        <v>12</v>
      </c>
      <c r="H39" t="s">
        <v>1473</v>
      </c>
    </row>
    <row r="40" spans="1:8" ht="43.5">
      <c r="A40" s="103" t="s">
        <v>1471</v>
      </c>
      <c r="B40" s="103" t="str">
        <f t="shared" si="0"/>
        <v>84</v>
      </c>
      <c r="C40" s="99">
        <v>1</v>
      </c>
      <c r="D40" s="100" t="s">
        <v>1437</v>
      </c>
      <c r="E40" s="101" t="s">
        <v>1479</v>
      </c>
      <c r="F40" s="102" t="s">
        <v>27</v>
      </c>
      <c r="G40" s="100" t="s">
        <v>12</v>
      </c>
      <c r="H40" t="s">
        <v>1473</v>
      </c>
    </row>
    <row r="41" spans="1:8" ht="43.5">
      <c r="A41" s="103" t="s">
        <v>1471</v>
      </c>
      <c r="B41" s="103" t="str">
        <f t="shared" si="0"/>
        <v>84</v>
      </c>
      <c r="C41" s="99">
        <v>1</v>
      </c>
      <c r="D41" s="100" t="s">
        <v>1439</v>
      </c>
      <c r="E41" s="101" t="s">
        <v>1480</v>
      </c>
      <c r="F41" s="102" t="s">
        <v>27</v>
      </c>
      <c r="G41" s="100" t="s">
        <v>12</v>
      </c>
      <c r="H41" t="s">
        <v>1473</v>
      </c>
    </row>
    <row r="42" spans="1:8" ht="29">
      <c r="A42" s="103" t="s">
        <v>1481</v>
      </c>
      <c r="B42" s="103" t="str">
        <f t="shared" si="0"/>
        <v>85</v>
      </c>
      <c r="C42" s="99">
        <v>1</v>
      </c>
      <c r="D42" s="100" t="s">
        <v>18</v>
      </c>
      <c r="E42" s="101" t="s">
        <v>190</v>
      </c>
      <c r="F42" s="102" t="s">
        <v>9</v>
      </c>
      <c r="G42" s="100" t="s">
        <v>146</v>
      </c>
      <c r="H42" t="s">
        <v>1482</v>
      </c>
    </row>
    <row r="43" spans="1:8" ht="43.5">
      <c r="A43" s="103" t="s">
        <v>1483</v>
      </c>
      <c r="B43" s="103" t="str">
        <f t="shared" si="0"/>
        <v>86</v>
      </c>
      <c r="C43" s="99">
        <v>1</v>
      </c>
      <c r="D43" s="100" t="s">
        <v>1424</v>
      </c>
      <c r="E43" s="101" t="s">
        <v>1484</v>
      </c>
      <c r="F43" s="102" t="s">
        <v>27</v>
      </c>
      <c r="G43" s="100" t="s">
        <v>12</v>
      </c>
      <c r="H43" t="s">
        <v>1485</v>
      </c>
    </row>
    <row r="44" spans="1:8" ht="43.5">
      <c r="A44" s="103" t="s">
        <v>1483</v>
      </c>
      <c r="B44" s="103" t="str">
        <f t="shared" si="0"/>
        <v>86</v>
      </c>
      <c r="C44" s="99">
        <v>1</v>
      </c>
      <c r="D44" s="100" t="s">
        <v>1427</v>
      </c>
      <c r="E44" s="101" t="s">
        <v>1486</v>
      </c>
      <c r="F44" s="102" t="s">
        <v>27</v>
      </c>
      <c r="G44" s="100" t="s">
        <v>12</v>
      </c>
      <c r="H44" t="s">
        <v>1485</v>
      </c>
    </row>
    <row r="45" spans="1:8" ht="43.5">
      <c r="A45" s="103" t="s">
        <v>1483</v>
      </c>
      <c r="B45" s="103" t="str">
        <f t="shared" si="0"/>
        <v>86</v>
      </c>
      <c r="C45" s="99">
        <v>1</v>
      </c>
      <c r="D45" s="100" t="s">
        <v>1429</v>
      </c>
      <c r="E45" s="101" t="s">
        <v>1487</v>
      </c>
      <c r="F45" s="102" t="s">
        <v>27</v>
      </c>
      <c r="G45" s="100" t="s">
        <v>12</v>
      </c>
      <c r="H45" t="s">
        <v>1485</v>
      </c>
    </row>
    <row r="46" spans="1:8" ht="43.5">
      <c r="A46" s="103" t="s">
        <v>1483</v>
      </c>
      <c r="B46" s="103" t="str">
        <f t="shared" si="0"/>
        <v>86</v>
      </c>
      <c r="C46" s="99">
        <v>1</v>
      </c>
      <c r="D46" s="100" t="s">
        <v>1431</v>
      </c>
      <c r="E46" s="101" t="s">
        <v>1488</v>
      </c>
      <c r="F46" s="102" t="s">
        <v>27</v>
      </c>
      <c r="G46" s="100" t="s">
        <v>12</v>
      </c>
      <c r="H46" t="s">
        <v>1485</v>
      </c>
    </row>
    <row r="47" spans="1:8" ht="43.5">
      <c r="A47" s="103" t="s">
        <v>1483</v>
      </c>
      <c r="B47" s="103" t="str">
        <f t="shared" si="0"/>
        <v>86</v>
      </c>
      <c r="C47" s="99">
        <v>1</v>
      </c>
      <c r="D47" s="100" t="s">
        <v>1433</v>
      </c>
      <c r="E47" s="101" t="s">
        <v>1489</v>
      </c>
      <c r="F47" s="102" t="s">
        <v>27</v>
      </c>
      <c r="G47" s="100" t="s">
        <v>12</v>
      </c>
      <c r="H47" t="s">
        <v>1485</v>
      </c>
    </row>
    <row r="48" spans="1:8" ht="43.5">
      <c r="A48" s="103" t="s">
        <v>1483</v>
      </c>
      <c r="B48" s="103" t="str">
        <f t="shared" si="0"/>
        <v>86</v>
      </c>
      <c r="C48" s="99">
        <v>1</v>
      </c>
      <c r="D48" s="100" t="s">
        <v>1435</v>
      </c>
      <c r="E48" s="101" t="s">
        <v>1490</v>
      </c>
      <c r="F48" s="102" t="s">
        <v>27</v>
      </c>
      <c r="G48" s="100" t="s">
        <v>12</v>
      </c>
      <c r="H48" t="s">
        <v>1485</v>
      </c>
    </row>
    <row r="49" spans="1:8" ht="43.5">
      <c r="A49" s="103" t="s">
        <v>1483</v>
      </c>
      <c r="B49" s="103" t="str">
        <f t="shared" si="0"/>
        <v>86</v>
      </c>
      <c r="C49" s="99">
        <v>1</v>
      </c>
      <c r="D49" s="100" t="s">
        <v>1437</v>
      </c>
      <c r="E49" s="101" t="s">
        <v>1491</v>
      </c>
      <c r="F49" s="102" t="s">
        <v>27</v>
      </c>
      <c r="G49" s="100" t="s">
        <v>12</v>
      </c>
      <c r="H49" t="s">
        <v>1485</v>
      </c>
    </row>
    <row r="50" spans="1:8" ht="43.5">
      <c r="A50" s="103" t="s">
        <v>1483</v>
      </c>
      <c r="B50" s="103" t="str">
        <f t="shared" si="0"/>
        <v>86</v>
      </c>
      <c r="C50" s="99">
        <v>1</v>
      </c>
      <c r="D50" s="100" t="s">
        <v>1439</v>
      </c>
      <c r="E50" s="101" t="s">
        <v>1492</v>
      </c>
      <c r="F50" s="102" t="s">
        <v>27</v>
      </c>
      <c r="G50" s="100" t="s">
        <v>12</v>
      </c>
      <c r="H50" t="s">
        <v>1485</v>
      </c>
    </row>
    <row r="51" spans="1:8" ht="43.5">
      <c r="A51" s="103" t="s">
        <v>1493</v>
      </c>
      <c r="B51" s="103" t="str">
        <f t="shared" si="0"/>
        <v>87</v>
      </c>
      <c r="C51" s="99">
        <v>1</v>
      </c>
      <c r="D51" s="100" t="s">
        <v>399</v>
      </c>
      <c r="E51" s="101" t="s">
        <v>1494</v>
      </c>
      <c r="F51" s="102" t="s">
        <v>1495</v>
      </c>
      <c r="G51" s="100" t="s">
        <v>32</v>
      </c>
      <c r="H51" t="s">
        <v>1496</v>
      </c>
    </row>
    <row r="52" spans="1:8" ht="43.5">
      <c r="A52" s="103" t="s">
        <v>1493</v>
      </c>
      <c r="B52" s="103" t="str">
        <f t="shared" si="0"/>
        <v>87</v>
      </c>
      <c r="C52" s="99">
        <v>1</v>
      </c>
      <c r="D52" s="100" t="s">
        <v>552</v>
      </c>
      <c r="E52" s="101" t="s">
        <v>1497</v>
      </c>
      <c r="F52" s="102" t="s">
        <v>1495</v>
      </c>
      <c r="G52" s="100" t="s">
        <v>32</v>
      </c>
      <c r="H52" t="s">
        <v>1496</v>
      </c>
    </row>
    <row r="53" spans="1:8" ht="43.5">
      <c r="A53" s="103" t="s">
        <v>1493</v>
      </c>
      <c r="B53" s="103" t="str">
        <f t="shared" si="0"/>
        <v>87</v>
      </c>
      <c r="C53" s="99">
        <v>1</v>
      </c>
      <c r="D53" s="100" t="s">
        <v>698</v>
      </c>
      <c r="E53" s="101" t="s">
        <v>1498</v>
      </c>
      <c r="F53" s="102" t="s">
        <v>1495</v>
      </c>
      <c r="G53" s="100" t="s">
        <v>32</v>
      </c>
      <c r="H53" t="s">
        <v>1496</v>
      </c>
    </row>
    <row r="54" spans="1:8" ht="43.5">
      <c r="A54" s="103" t="s">
        <v>1493</v>
      </c>
      <c r="B54" s="103" t="str">
        <f t="shared" si="0"/>
        <v>87</v>
      </c>
      <c r="C54" s="99">
        <v>1</v>
      </c>
      <c r="D54" s="100" t="s">
        <v>13</v>
      </c>
      <c r="E54" s="101" t="s">
        <v>1499</v>
      </c>
      <c r="F54" s="102" t="s">
        <v>1495</v>
      </c>
      <c r="G54" s="100" t="s">
        <v>32</v>
      </c>
      <c r="H54" t="s">
        <v>1496</v>
      </c>
    </row>
    <row r="55" spans="1:8" ht="43.5">
      <c r="A55" s="103" t="s">
        <v>1500</v>
      </c>
      <c r="B55" s="103" t="str">
        <f t="shared" si="0"/>
        <v>88</v>
      </c>
      <c r="C55" s="99">
        <v>1</v>
      </c>
      <c r="D55" s="100" t="s">
        <v>399</v>
      </c>
      <c r="E55" s="101" t="s">
        <v>1501</v>
      </c>
      <c r="F55" s="102" t="s">
        <v>1495</v>
      </c>
      <c r="G55" s="100" t="s">
        <v>32</v>
      </c>
      <c r="H55" t="s">
        <v>1496</v>
      </c>
    </row>
    <row r="56" spans="1:8" ht="43.5">
      <c r="A56" s="103" t="s">
        <v>1500</v>
      </c>
      <c r="B56" s="103" t="str">
        <f t="shared" si="0"/>
        <v>88</v>
      </c>
      <c r="C56" s="99">
        <v>1</v>
      </c>
      <c r="D56" s="100" t="s">
        <v>552</v>
      </c>
      <c r="E56" s="101" t="s">
        <v>1502</v>
      </c>
      <c r="F56" s="102" t="s">
        <v>1495</v>
      </c>
      <c r="G56" s="100" t="s">
        <v>32</v>
      </c>
      <c r="H56" t="s">
        <v>1496</v>
      </c>
    </row>
    <row r="57" spans="1:8" ht="43.5">
      <c r="A57" s="103" t="s">
        <v>1500</v>
      </c>
      <c r="B57" s="103" t="str">
        <f t="shared" si="0"/>
        <v>88</v>
      </c>
      <c r="C57" s="99">
        <v>1</v>
      </c>
      <c r="D57" s="100" t="s">
        <v>698</v>
      </c>
      <c r="E57" s="101" t="s">
        <v>1503</v>
      </c>
      <c r="F57" s="102" t="s">
        <v>1495</v>
      </c>
      <c r="G57" s="100" t="s">
        <v>32</v>
      </c>
      <c r="H57" t="s">
        <v>1496</v>
      </c>
    </row>
    <row r="58" spans="1:8" ht="43.5">
      <c r="A58" s="103" t="s">
        <v>1500</v>
      </c>
      <c r="B58" s="103" t="str">
        <f t="shared" si="0"/>
        <v>88</v>
      </c>
      <c r="C58" s="99">
        <v>1</v>
      </c>
      <c r="D58" s="100" t="s">
        <v>13</v>
      </c>
      <c r="E58" s="101" t="s">
        <v>1504</v>
      </c>
      <c r="F58" s="102" t="s">
        <v>1495</v>
      </c>
      <c r="G58" s="100" t="s">
        <v>32</v>
      </c>
      <c r="H58" t="s">
        <v>1496</v>
      </c>
    </row>
    <row r="59" spans="1:8" ht="43.5">
      <c r="A59" s="103" t="s">
        <v>1505</v>
      </c>
      <c r="B59" s="103" t="str">
        <f t="shared" si="0"/>
        <v>89</v>
      </c>
      <c r="C59" s="99">
        <v>1</v>
      </c>
      <c r="D59" s="100" t="s">
        <v>1424</v>
      </c>
      <c r="E59" s="101" t="s">
        <v>1506</v>
      </c>
      <c r="F59" s="102" t="s">
        <v>27</v>
      </c>
      <c r="G59" s="100" t="s">
        <v>12</v>
      </c>
      <c r="H59" t="s">
        <v>1507</v>
      </c>
    </row>
    <row r="60" spans="1:8" ht="43.5">
      <c r="A60" s="103" t="s">
        <v>1505</v>
      </c>
      <c r="B60" s="103" t="str">
        <f t="shared" si="0"/>
        <v>89</v>
      </c>
      <c r="C60" s="99">
        <v>1</v>
      </c>
      <c r="D60" s="100" t="s">
        <v>1427</v>
      </c>
      <c r="E60" s="101" t="s">
        <v>1508</v>
      </c>
      <c r="F60" s="102" t="s">
        <v>27</v>
      </c>
      <c r="G60" s="100" t="s">
        <v>12</v>
      </c>
      <c r="H60" t="s">
        <v>1507</v>
      </c>
    </row>
    <row r="61" spans="1:8" ht="43.5">
      <c r="A61" s="103" t="s">
        <v>1505</v>
      </c>
      <c r="B61" s="103" t="str">
        <f t="shared" si="0"/>
        <v>89</v>
      </c>
      <c r="C61" s="99">
        <v>1</v>
      </c>
      <c r="D61" s="100" t="s">
        <v>1429</v>
      </c>
      <c r="E61" s="101" t="s">
        <v>1509</v>
      </c>
      <c r="F61" s="102" t="s">
        <v>27</v>
      </c>
      <c r="G61" s="100" t="s">
        <v>12</v>
      </c>
      <c r="H61" t="s">
        <v>1507</v>
      </c>
    </row>
    <row r="62" spans="1:8" ht="43.5">
      <c r="A62" s="103" t="s">
        <v>1505</v>
      </c>
      <c r="B62" s="103" t="str">
        <f t="shared" si="0"/>
        <v>89</v>
      </c>
      <c r="C62" s="99">
        <v>1</v>
      </c>
      <c r="D62" s="100" t="s">
        <v>1431</v>
      </c>
      <c r="E62" s="101" t="s">
        <v>1510</v>
      </c>
      <c r="F62" s="102" t="s">
        <v>27</v>
      </c>
      <c r="G62" s="100" t="s">
        <v>12</v>
      </c>
      <c r="H62" t="s">
        <v>1507</v>
      </c>
    </row>
    <row r="63" spans="1:8" ht="43.5">
      <c r="A63" s="103" t="s">
        <v>1505</v>
      </c>
      <c r="B63" s="103" t="str">
        <f t="shared" si="0"/>
        <v>89</v>
      </c>
      <c r="C63" s="99">
        <v>1</v>
      </c>
      <c r="D63" s="100" t="s">
        <v>1433</v>
      </c>
      <c r="E63" s="101" t="s">
        <v>1511</v>
      </c>
      <c r="F63" s="102" t="s">
        <v>27</v>
      </c>
      <c r="G63" s="100" t="s">
        <v>12</v>
      </c>
      <c r="H63" t="s">
        <v>1507</v>
      </c>
    </row>
    <row r="64" spans="1:8" ht="43.5">
      <c r="A64" s="103" t="s">
        <v>1505</v>
      </c>
      <c r="B64" s="103" t="str">
        <f t="shared" si="0"/>
        <v>89</v>
      </c>
      <c r="C64" s="99">
        <v>1</v>
      </c>
      <c r="D64" s="100" t="s">
        <v>1435</v>
      </c>
      <c r="E64" s="101" t="s">
        <v>1512</v>
      </c>
      <c r="F64" s="102" t="s">
        <v>27</v>
      </c>
      <c r="G64" s="100" t="s">
        <v>12</v>
      </c>
      <c r="H64" t="s">
        <v>1507</v>
      </c>
    </row>
    <row r="65" spans="1:8" ht="43.5">
      <c r="A65" s="103" t="s">
        <v>1505</v>
      </c>
      <c r="B65" s="103" t="str">
        <f t="shared" si="0"/>
        <v>89</v>
      </c>
      <c r="C65" s="99">
        <v>1</v>
      </c>
      <c r="D65" s="100" t="s">
        <v>1437</v>
      </c>
      <c r="E65" s="101" t="s">
        <v>1513</v>
      </c>
      <c r="F65" s="102" t="s">
        <v>27</v>
      </c>
      <c r="G65" s="100" t="s">
        <v>12</v>
      </c>
      <c r="H65" t="s">
        <v>1507</v>
      </c>
    </row>
    <row r="66" spans="1:8" ht="43.5">
      <c r="A66" s="103" t="s">
        <v>1505</v>
      </c>
      <c r="B66" s="103" t="str">
        <f t="shared" ref="B66:B129" si="1">DEC2HEX(A66, 2)</f>
        <v>89</v>
      </c>
      <c r="C66" s="99">
        <v>1</v>
      </c>
      <c r="D66" s="100" t="s">
        <v>1439</v>
      </c>
      <c r="E66" s="101" t="s">
        <v>1514</v>
      </c>
      <c r="F66" s="102" t="s">
        <v>27</v>
      </c>
      <c r="G66" s="100" t="s">
        <v>12</v>
      </c>
      <c r="H66" t="s">
        <v>1507</v>
      </c>
    </row>
    <row r="67" spans="1:8" ht="29">
      <c r="A67" s="103" t="s">
        <v>1515</v>
      </c>
      <c r="B67" s="103" t="str">
        <f t="shared" si="1"/>
        <v>8A</v>
      </c>
      <c r="C67" s="99">
        <v>1</v>
      </c>
      <c r="D67" s="100" t="s">
        <v>1424</v>
      </c>
      <c r="E67" s="101" t="s">
        <v>1516</v>
      </c>
      <c r="F67" s="102" t="s">
        <v>27</v>
      </c>
      <c r="G67" s="100" t="s">
        <v>12</v>
      </c>
      <c r="H67" t="s">
        <v>1517</v>
      </c>
    </row>
    <row r="68" spans="1:8" ht="29">
      <c r="A68" s="103" t="s">
        <v>1515</v>
      </c>
      <c r="B68" s="103" t="str">
        <f t="shared" si="1"/>
        <v>8A</v>
      </c>
      <c r="C68" s="99">
        <v>1</v>
      </c>
      <c r="D68" s="100" t="s">
        <v>1427</v>
      </c>
      <c r="E68" s="101" t="s">
        <v>1518</v>
      </c>
      <c r="F68" s="102" t="s">
        <v>27</v>
      </c>
      <c r="G68" s="100" t="s">
        <v>12</v>
      </c>
      <c r="H68" t="s">
        <v>1517</v>
      </c>
    </row>
    <row r="69" spans="1:8" ht="29">
      <c r="A69" s="103" t="s">
        <v>1515</v>
      </c>
      <c r="B69" s="103" t="str">
        <f t="shared" si="1"/>
        <v>8A</v>
      </c>
      <c r="C69" s="99">
        <v>1</v>
      </c>
      <c r="D69" s="100" t="s">
        <v>1429</v>
      </c>
      <c r="E69" s="101" t="s">
        <v>1519</v>
      </c>
      <c r="F69" s="102" t="s">
        <v>27</v>
      </c>
      <c r="G69" s="100" t="s">
        <v>12</v>
      </c>
      <c r="H69" t="s">
        <v>1517</v>
      </c>
    </row>
    <row r="70" spans="1:8" ht="29">
      <c r="A70" s="103" t="s">
        <v>1515</v>
      </c>
      <c r="B70" s="103" t="str">
        <f t="shared" si="1"/>
        <v>8A</v>
      </c>
      <c r="C70" s="99">
        <v>1</v>
      </c>
      <c r="D70" s="100" t="s">
        <v>1431</v>
      </c>
      <c r="E70" s="101" t="s">
        <v>1520</v>
      </c>
      <c r="F70" s="102" t="s">
        <v>27</v>
      </c>
      <c r="G70" s="100" t="s">
        <v>12</v>
      </c>
      <c r="H70" t="s">
        <v>1517</v>
      </c>
    </row>
    <row r="71" spans="1:8" ht="29">
      <c r="A71" s="103" t="s">
        <v>1515</v>
      </c>
      <c r="B71" s="103" t="str">
        <f t="shared" si="1"/>
        <v>8A</v>
      </c>
      <c r="C71" s="99">
        <v>1</v>
      </c>
      <c r="D71" s="100" t="s">
        <v>1433</v>
      </c>
      <c r="E71" s="101" t="s">
        <v>1521</v>
      </c>
      <c r="F71" s="102" t="s">
        <v>27</v>
      </c>
      <c r="G71" s="100" t="s">
        <v>12</v>
      </c>
      <c r="H71" t="s">
        <v>1517</v>
      </c>
    </row>
    <row r="72" spans="1:8" ht="29">
      <c r="A72" s="103" t="s">
        <v>1515</v>
      </c>
      <c r="B72" s="103" t="str">
        <f t="shared" si="1"/>
        <v>8A</v>
      </c>
      <c r="C72" s="99">
        <v>1</v>
      </c>
      <c r="D72" s="100" t="s">
        <v>1435</v>
      </c>
      <c r="E72" s="101" t="s">
        <v>1522</v>
      </c>
      <c r="F72" s="102" t="s">
        <v>27</v>
      </c>
      <c r="G72" s="100" t="s">
        <v>12</v>
      </c>
      <c r="H72" t="s">
        <v>1517</v>
      </c>
    </row>
    <row r="73" spans="1:8" ht="29">
      <c r="A73" s="103" t="s">
        <v>1515</v>
      </c>
      <c r="B73" s="103" t="str">
        <f t="shared" si="1"/>
        <v>8A</v>
      </c>
      <c r="C73" s="99">
        <v>1</v>
      </c>
      <c r="D73" s="100" t="s">
        <v>1437</v>
      </c>
      <c r="E73" s="101" t="s">
        <v>1523</v>
      </c>
      <c r="F73" s="102" t="s">
        <v>27</v>
      </c>
      <c r="G73" s="100" t="s">
        <v>12</v>
      </c>
      <c r="H73" t="s">
        <v>1517</v>
      </c>
    </row>
    <row r="74" spans="1:8" ht="29">
      <c r="A74" s="103" t="s">
        <v>1515</v>
      </c>
      <c r="B74" s="103" t="str">
        <f t="shared" si="1"/>
        <v>8A</v>
      </c>
      <c r="C74" s="99">
        <v>1</v>
      </c>
      <c r="D74" s="100" t="s">
        <v>1439</v>
      </c>
      <c r="E74" s="101" t="s">
        <v>1524</v>
      </c>
      <c r="F74" s="102" t="s">
        <v>27</v>
      </c>
      <c r="G74" s="100" t="s">
        <v>12</v>
      </c>
      <c r="H74" t="s">
        <v>1517</v>
      </c>
    </row>
    <row r="75" spans="1:8" ht="43.5">
      <c r="A75" s="103" t="s">
        <v>1525</v>
      </c>
      <c r="B75" s="103" t="str">
        <f t="shared" si="1"/>
        <v>8B</v>
      </c>
      <c r="C75" s="99">
        <v>1</v>
      </c>
      <c r="D75" s="100" t="s">
        <v>1424</v>
      </c>
      <c r="E75" s="101" t="s">
        <v>1526</v>
      </c>
      <c r="F75" s="102" t="s">
        <v>27</v>
      </c>
      <c r="G75" s="100" t="s">
        <v>137</v>
      </c>
      <c r="H75" t="s">
        <v>1527</v>
      </c>
    </row>
    <row r="76" spans="1:8" ht="43.5">
      <c r="A76" s="103" t="s">
        <v>1525</v>
      </c>
      <c r="B76" s="103" t="str">
        <f t="shared" si="1"/>
        <v>8B</v>
      </c>
      <c r="C76" s="99">
        <v>1</v>
      </c>
      <c r="D76" s="100" t="s">
        <v>1427</v>
      </c>
      <c r="E76" s="101" t="s">
        <v>1528</v>
      </c>
      <c r="F76" s="102" t="s">
        <v>27</v>
      </c>
      <c r="G76" s="100" t="s">
        <v>137</v>
      </c>
      <c r="H76" t="s">
        <v>1527</v>
      </c>
    </row>
    <row r="77" spans="1:8" ht="43.5">
      <c r="A77" s="103" t="s">
        <v>1525</v>
      </c>
      <c r="B77" s="103" t="str">
        <f t="shared" si="1"/>
        <v>8B</v>
      </c>
      <c r="C77" s="99">
        <v>1</v>
      </c>
      <c r="D77" s="100" t="s">
        <v>1429</v>
      </c>
      <c r="E77" s="101" t="s">
        <v>1529</v>
      </c>
      <c r="F77" s="102" t="s">
        <v>27</v>
      </c>
      <c r="G77" s="100" t="s">
        <v>137</v>
      </c>
      <c r="H77" t="s">
        <v>1527</v>
      </c>
    </row>
    <row r="78" spans="1:8" ht="43.5">
      <c r="A78" s="103" t="s">
        <v>1525</v>
      </c>
      <c r="B78" s="103" t="str">
        <f t="shared" si="1"/>
        <v>8B</v>
      </c>
      <c r="C78" s="99">
        <v>1</v>
      </c>
      <c r="D78" s="100" t="s">
        <v>1431</v>
      </c>
      <c r="E78" s="101" t="s">
        <v>1530</v>
      </c>
      <c r="F78" s="102" t="s">
        <v>27</v>
      </c>
      <c r="G78" s="100" t="s">
        <v>137</v>
      </c>
      <c r="H78" t="s">
        <v>1527</v>
      </c>
    </row>
    <row r="79" spans="1:8" ht="43.5">
      <c r="A79" s="103" t="s">
        <v>1525</v>
      </c>
      <c r="B79" s="103" t="str">
        <f t="shared" si="1"/>
        <v>8B</v>
      </c>
      <c r="C79" s="99">
        <v>1</v>
      </c>
      <c r="D79" s="100" t="s">
        <v>1433</v>
      </c>
      <c r="E79" s="101" t="s">
        <v>1531</v>
      </c>
      <c r="F79" s="102" t="s">
        <v>27</v>
      </c>
      <c r="G79" s="100" t="s">
        <v>137</v>
      </c>
      <c r="H79" t="s">
        <v>1527</v>
      </c>
    </row>
    <row r="80" spans="1:8" ht="43.5">
      <c r="A80" s="103" t="s">
        <v>1525</v>
      </c>
      <c r="B80" s="103" t="str">
        <f t="shared" si="1"/>
        <v>8B</v>
      </c>
      <c r="C80" s="99">
        <v>1</v>
      </c>
      <c r="D80" s="100" t="s">
        <v>1435</v>
      </c>
      <c r="E80" s="101" t="s">
        <v>1532</v>
      </c>
      <c r="F80" s="102" t="s">
        <v>27</v>
      </c>
      <c r="G80" s="100" t="s">
        <v>137</v>
      </c>
      <c r="H80" t="s">
        <v>1527</v>
      </c>
    </row>
    <row r="81" spans="1:8" ht="43.5">
      <c r="A81" s="103" t="s">
        <v>1525</v>
      </c>
      <c r="B81" s="103" t="str">
        <f t="shared" si="1"/>
        <v>8B</v>
      </c>
      <c r="C81" s="99">
        <v>1</v>
      </c>
      <c r="D81" s="100" t="s">
        <v>1437</v>
      </c>
      <c r="E81" s="101" t="s">
        <v>1533</v>
      </c>
      <c r="F81" s="102" t="s">
        <v>27</v>
      </c>
      <c r="G81" s="100" t="s">
        <v>137</v>
      </c>
      <c r="H81" t="s">
        <v>1527</v>
      </c>
    </row>
    <row r="82" spans="1:8" ht="43.5">
      <c r="A82" s="103" t="s">
        <v>1525</v>
      </c>
      <c r="B82" s="103" t="str">
        <f t="shared" si="1"/>
        <v>8B</v>
      </c>
      <c r="C82" s="99">
        <v>1</v>
      </c>
      <c r="D82" s="100" t="s">
        <v>1439</v>
      </c>
      <c r="E82" s="101" t="s">
        <v>1534</v>
      </c>
      <c r="F82" s="102" t="s">
        <v>27</v>
      </c>
      <c r="G82" s="100" t="s">
        <v>137</v>
      </c>
      <c r="H82" t="s">
        <v>1527</v>
      </c>
    </row>
    <row r="83" spans="1:8" ht="29">
      <c r="A83" s="103" t="s">
        <v>1535</v>
      </c>
      <c r="B83" s="103" t="e">
        <f t="shared" si="1"/>
        <v>#VALUE!</v>
      </c>
      <c r="C83" s="99">
        <v>3</v>
      </c>
      <c r="D83" s="100" t="s">
        <v>18</v>
      </c>
      <c r="E83" s="101" t="s">
        <v>1536</v>
      </c>
      <c r="F83" s="102" t="s">
        <v>9</v>
      </c>
      <c r="G83" s="100" t="s">
        <v>704</v>
      </c>
      <c r="H83" t="s">
        <v>1537</v>
      </c>
    </row>
    <row r="84" spans="1:8" ht="43.5">
      <c r="A84" s="103" t="s">
        <v>1538</v>
      </c>
      <c r="B84" s="103" t="str">
        <f t="shared" si="1"/>
        <v>8F</v>
      </c>
      <c r="C84" s="99">
        <v>1</v>
      </c>
      <c r="D84" s="100" t="s">
        <v>1424</v>
      </c>
      <c r="E84" s="101" t="s">
        <v>1539</v>
      </c>
      <c r="F84" s="102" t="s">
        <v>1540</v>
      </c>
      <c r="G84" s="100" t="s">
        <v>12</v>
      </c>
      <c r="H84" t="s">
        <v>1541</v>
      </c>
    </row>
    <row r="85" spans="1:8" ht="43.5">
      <c r="A85" s="103" t="s">
        <v>1538</v>
      </c>
      <c r="B85" s="103" t="str">
        <f t="shared" si="1"/>
        <v>8F</v>
      </c>
      <c r="C85" s="99">
        <v>1</v>
      </c>
      <c r="D85" s="100" t="s">
        <v>1427</v>
      </c>
      <c r="E85" s="101" t="s">
        <v>1542</v>
      </c>
      <c r="F85" s="102" t="s">
        <v>1540</v>
      </c>
      <c r="G85" s="100" t="s">
        <v>12</v>
      </c>
      <c r="H85" t="s">
        <v>1541</v>
      </c>
    </row>
    <row r="86" spans="1:8" ht="43.5">
      <c r="A86" s="103" t="s">
        <v>1538</v>
      </c>
      <c r="B86" s="103" t="str">
        <f t="shared" si="1"/>
        <v>8F</v>
      </c>
      <c r="C86" s="99">
        <v>1</v>
      </c>
      <c r="D86" s="100" t="s">
        <v>1429</v>
      </c>
      <c r="E86" s="101" t="s">
        <v>1543</v>
      </c>
      <c r="F86" s="102" t="s">
        <v>1540</v>
      </c>
      <c r="G86" s="100" t="s">
        <v>12</v>
      </c>
      <c r="H86" t="s">
        <v>1541</v>
      </c>
    </row>
    <row r="87" spans="1:8" ht="43.5">
      <c r="A87" s="103" t="s">
        <v>1538</v>
      </c>
      <c r="B87" s="103" t="str">
        <f t="shared" si="1"/>
        <v>8F</v>
      </c>
      <c r="C87" s="99">
        <v>1</v>
      </c>
      <c r="D87" s="100" t="s">
        <v>1431</v>
      </c>
      <c r="E87" s="101" t="s">
        <v>1544</v>
      </c>
      <c r="F87" s="102" t="s">
        <v>1540</v>
      </c>
      <c r="G87" s="100" t="s">
        <v>12</v>
      </c>
      <c r="H87" t="s">
        <v>1541</v>
      </c>
    </row>
    <row r="88" spans="1:8" ht="43.5">
      <c r="A88" s="103" t="s">
        <v>1538</v>
      </c>
      <c r="B88" s="103" t="str">
        <f t="shared" si="1"/>
        <v>8F</v>
      </c>
      <c r="C88" s="99">
        <v>1</v>
      </c>
      <c r="D88" s="100" t="s">
        <v>1433</v>
      </c>
      <c r="E88" s="101" t="s">
        <v>1545</v>
      </c>
      <c r="F88" s="102" t="s">
        <v>1540</v>
      </c>
      <c r="G88" s="100" t="s">
        <v>12</v>
      </c>
      <c r="H88" t="s">
        <v>1541</v>
      </c>
    </row>
    <row r="89" spans="1:8" ht="43.5">
      <c r="A89" s="103" t="s">
        <v>1538</v>
      </c>
      <c r="B89" s="103" t="str">
        <f t="shared" si="1"/>
        <v>8F</v>
      </c>
      <c r="C89" s="99">
        <v>1</v>
      </c>
      <c r="D89" s="100" t="s">
        <v>1435</v>
      </c>
      <c r="E89" s="101" t="s">
        <v>1546</v>
      </c>
      <c r="F89" s="102" t="s">
        <v>1540</v>
      </c>
      <c r="G89" s="100" t="s">
        <v>12</v>
      </c>
      <c r="H89" t="s">
        <v>1541</v>
      </c>
    </row>
    <row r="90" spans="1:8" ht="43.5">
      <c r="A90" s="103" t="s">
        <v>1538</v>
      </c>
      <c r="B90" s="103" t="str">
        <f t="shared" si="1"/>
        <v>8F</v>
      </c>
      <c r="C90" s="99">
        <v>1</v>
      </c>
      <c r="D90" s="100" t="s">
        <v>1437</v>
      </c>
      <c r="E90" s="101" t="s">
        <v>1547</v>
      </c>
      <c r="F90" s="102" t="s">
        <v>1540</v>
      </c>
      <c r="G90" s="100" t="s">
        <v>12</v>
      </c>
      <c r="H90" t="s">
        <v>1541</v>
      </c>
    </row>
    <row r="91" spans="1:8" ht="43.5">
      <c r="A91" s="103" t="s">
        <v>1538</v>
      </c>
      <c r="B91" s="103" t="str">
        <f t="shared" si="1"/>
        <v>8F</v>
      </c>
      <c r="C91" s="99">
        <v>1</v>
      </c>
      <c r="D91" s="100" t="s">
        <v>1439</v>
      </c>
      <c r="E91" s="101" t="s">
        <v>1548</v>
      </c>
      <c r="F91" s="102" t="s">
        <v>1540</v>
      </c>
      <c r="G91" s="100" t="s">
        <v>12</v>
      </c>
      <c r="H91" t="s">
        <v>1541</v>
      </c>
    </row>
    <row r="92" spans="1:8" ht="58">
      <c r="A92" s="103" t="s">
        <v>1549</v>
      </c>
      <c r="B92" s="103" t="str">
        <f t="shared" si="1"/>
        <v>90</v>
      </c>
      <c r="C92" s="99">
        <v>1</v>
      </c>
      <c r="D92" s="100" t="s">
        <v>1424</v>
      </c>
      <c r="E92" s="101" t="s">
        <v>1550</v>
      </c>
      <c r="F92" s="102" t="s">
        <v>1551</v>
      </c>
      <c r="G92" s="100" t="s">
        <v>12</v>
      </c>
      <c r="H92" t="s">
        <v>1552</v>
      </c>
    </row>
    <row r="93" spans="1:8" ht="58">
      <c r="A93" s="103" t="s">
        <v>1549</v>
      </c>
      <c r="B93" s="103" t="str">
        <f t="shared" si="1"/>
        <v>90</v>
      </c>
      <c r="C93" s="99">
        <v>1</v>
      </c>
      <c r="D93" s="100" t="s">
        <v>1427</v>
      </c>
      <c r="E93" s="101" t="s">
        <v>1553</v>
      </c>
      <c r="F93" s="102" t="s">
        <v>1551</v>
      </c>
      <c r="G93" s="100" t="s">
        <v>12</v>
      </c>
      <c r="H93" t="s">
        <v>1552</v>
      </c>
    </row>
    <row r="94" spans="1:8" ht="58">
      <c r="A94" s="103" t="s">
        <v>1549</v>
      </c>
      <c r="B94" s="103" t="str">
        <f t="shared" si="1"/>
        <v>90</v>
      </c>
      <c r="C94" s="99">
        <v>1</v>
      </c>
      <c r="D94" s="100" t="s">
        <v>1429</v>
      </c>
      <c r="E94" s="101" t="s">
        <v>1554</v>
      </c>
      <c r="F94" s="102" t="s">
        <v>1551</v>
      </c>
      <c r="G94" s="100" t="s">
        <v>12</v>
      </c>
      <c r="H94" t="s">
        <v>1552</v>
      </c>
    </row>
    <row r="95" spans="1:8" ht="58">
      <c r="A95" s="103" t="s">
        <v>1549</v>
      </c>
      <c r="B95" s="103" t="str">
        <f t="shared" si="1"/>
        <v>90</v>
      </c>
      <c r="C95" s="99">
        <v>1</v>
      </c>
      <c r="D95" s="100" t="s">
        <v>1431</v>
      </c>
      <c r="E95" s="101" t="s">
        <v>1555</v>
      </c>
      <c r="F95" s="102" t="s">
        <v>1551</v>
      </c>
      <c r="G95" s="100" t="s">
        <v>12</v>
      </c>
      <c r="H95" t="s">
        <v>1552</v>
      </c>
    </row>
    <row r="96" spans="1:8" ht="58">
      <c r="A96" s="103" t="s">
        <v>1549</v>
      </c>
      <c r="B96" s="103" t="str">
        <f t="shared" si="1"/>
        <v>90</v>
      </c>
      <c r="C96" s="99">
        <v>1</v>
      </c>
      <c r="D96" s="100" t="s">
        <v>1433</v>
      </c>
      <c r="E96" s="101" t="s">
        <v>1556</v>
      </c>
      <c r="F96" s="102" t="s">
        <v>1551</v>
      </c>
      <c r="G96" s="100" t="s">
        <v>12</v>
      </c>
      <c r="H96" t="s">
        <v>1552</v>
      </c>
    </row>
    <row r="97" spans="1:8" ht="58">
      <c r="A97" s="103" t="s">
        <v>1549</v>
      </c>
      <c r="B97" s="103" t="str">
        <f t="shared" si="1"/>
        <v>90</v>
      </c>
      <c r="C97" s="99">
        <v>1</v>
      </c>
      <c r="D97" s="100" t="s">
        <v>1435</v>
      </c>
      <c r="E97" s="101" t="s">
        <v>1557</v>
      </c>
      <c r="F97" s="102" t="s">
        <v>1551</v>
      </c>
      <c r="G97" s="100" t="s">
        <v>12</v>
      </c>
      <c r="H97" t="s">
        <v>1552</v>
      </c>
    </row>
    <row r="98" spans="1:8" ht="58">
      <c r="A98" s="103" t="s">
        <v>1549</v>
      </c>
      <c r="B98" s="103" t="str">
        <f t="shared" si="1"/>
        <v>90</v>
      </c>
      <c r="C98" s="99">
        <v>1</v>
      </c>
      <c r="D98" s="100" t="s">
        <v>1437</v>
      </c>
      <c r="E98" s="101" t="s">
        <v>1558</v>
      </c>
      <c r="F98" s="102" t="s">
        <v>1551</v>
      </c>
      <c r="G98" s="100" t="s">
        <v>12</v>
      </c>
      <c r="H98" t="s">
        <v>1552</v>
      </c>
    </row>
    <row r="99" spans="1:8" ht="58">
      <c r="A99" s="103" t="s">
        <v>1549</v>
      </c>
      <c r="B99" s="103" t="str">
        <f t="shared" si="1"/>
        <v>90</v>
      </c>
      <c r="C99" s="99">
        <v>1</v>
      </c>
      <c r="D99" s="100" t="s">
        <v>1439</v>
      </c>
      <c r="E99" s="101" t="s">
        <v>1559</v>
      </c>
      <c r="F99" s="102" t="s">
        <v>1551</v>
      </c>
      <c r="G99" s="100" t="s">
        <v>12</v>
      </c>
      <c r="H99" t="s">
        <v>1552</v>
      </c>
    </row>
    <row r="100" spans="1:8" ht="43.5">
      <c r="A100" s="103" t="s">
        <v>1560</v>
      </c>
      <c r="B100" s="103" t="str">
        <f t="shared" si="1"/>
        <v>91</v>
      </c>
      <c r="C100" s="99">
        <v>1</v>
      </c>
      <c r="D100" s="100" t="s">
        <v>129</v>
      </c>
      <c r="E100" s="101" t="s">
        <v>1561</v>
      </c>
      <c r="F100" s="102" t="s">
        <v>217</v>
      </c>
      <c r="G100" s="100" t="s">
        <v>127</v>
      </c>
      <c r="H100" t="s">
        <v>1562</v>
      </c>
    </row>
    <row r="101" spans="1:8" ht="43.5">
      <c r="A101" s="103" t="s">
        <v>1560</v>
      </c>
      <c r="B101" s="103" t="str">
        <f t="shared" si="1"/>
        <v>91</v>
      </c>
      <c r="C101" s="99">
        <v>1</v>
      </c>
      <c r="D101" s="100" t="s">
        <v>130</v>
      </c>
      <c r="E101" s="101" t="s">
        <v>1563</v>
      </c>
      <c r="F101" s="102" t="s">
        <v>217</v>
      </c>
      <c r="G101" s="100" t="s">
        <v>160</v>
      </c>
      <c r="H101" t="s">
        <v>1564</v>
      </c>
    </row>
    <row r="102" spans="1:8" ht="43.5">
      <c r="A102" s="103" t="s">
        <v>1560</v>
      </c>
      <c r="B102" s="103" t="str">
        <f t="shared" si="1"/>
        <v>91</v>
      </c>
      <c r="C102" s="99">
        <v>1</v>
      </c>
      <c r="D102" s="100" t="s">
        <v>1439</v>
      </c>
      <c r="E102" s="101" t="s">
        <v>1565</v>
      </c>
      <c r="F102" s="102" t="s">
        <v>217</v>
      </c>
      <c r="G102" s="100" t="s">
        <v>137</v>
      </c>
      <c r="H102" t="s">
        <v>1566</v>
      </c>
    </row>
    <row r="103" spans="1:8" ht="43.5">
      <c r="A103" s="103" t="s">
        <v>1567</v>
      </c>
      <c r="B103" s="103" t="str">
        <f t="shared" si="1"/>
        <v>92</v>
      </c>
      <c r="C103" s="99">
        <v>1</v>
      </c>
      <c r="D103" s="100" t="s">
        <v>129</v>
      </c>
      <c r="E103" s="101" t="s">
        <v>1568</v>
      </c>
      <c r="F103" s="102" t="s">
        <v>217</v>
      </c>
      <c r="G103" s="100" t="s">
        <v>127</v>
      </c>
      <c r="H103" t="s">
        <v>1562</v>
      </c>
    </row>
    <row r="104" spans="1:8" ht="43.5">
      <c r="A104" s="103" t="s">
        <v>1567</v>
      </c>
      <c r="B104" s="103" t="str">
        <f t="shared" si="1"/>
        <v>92</v>
      </c>
      <c r="C104" s="99">
        <v>1</v>
      </c>
      <c r="D104" s="100" t="s">
        <v>130</v>
      </c>
      <c r="E104" s="101" t="s">
        <v>1569</v>
      </c>
      <c r="F104" s="102" t="s">
        <v>217</v>
      </c>
      <c r="G104" s="100" t="s">
        <v>160</v>
      </c>
      <c r="H104" t="s">
        <v>1564</v>
      </c>
    </row>
    <row r="105" spans="1:8" ht="43.5">
      <c r="A105" s="103" t="s">
        <v>1567</v>
      </c>
      <c r="B105" s="103" t="str">
        <f t="shared" si="1"/>
        <v>92</v>
      </c>
      <c r="C105" s="99">
        <v>1</v>
      </c>
      <c r="D105" s="100" t="s">
        <v>1439</v>
      </c>
      <c r="E105" s="101" t="s">
        <v>1570</v>
      </c>
      <c r="F105" s="102" t="s">
        <v>217</v>
      </c>
      <c r="G105" s="100" t="s">
        <v>137</v>
      </c>
      <c r="H105" t="s">
        <v>1566</v>
      </c>
    </row>
    <row r="106" spans="1:8" ht="43.5">
      <c r="A106" s="103" t="s">
        <v>1571</v>
      </c>
      <c r="B106" s="103" t="str">
        <f t="shared" si="1"/>
        <v>93</v>
      </c>
      <c r="C106" s="99">
        <v>1</v>
      </c>
      <c r="D106" s="100" t="s">
        <v>129</v>
      </c>
      <c r="E106" s="101" t="s">
        <v>1572</v>
      </c>
      <c r="F106" s="102" t="s">
        <v>217</v>
      </c>
      <c r="G106" s="100" t="s">
        <v>127</v>
      </c>
      <c r="H106" t="s">
        <v>1562</v>
      </c>
    </row>
    <row r="107" spans="1:8" ht="43.5">
      <c r="A107" s="103" t="s">
        <v>1571</v>
      </c>
      <c r="B107" s="103" t="str">
        <f t="shared" si="1"/>
        <v>93</v>
      </c>
      <c r="C107" s="99">
        <v>1</v>
      </c>
      <c r="D107" s="100" t="s">
        <v>130</v>
      </c>
      <c r="E107" s="101" t="s">
        <v>1573</v>
      </c>
      <c r="F107" s="102" t="s">
        <v>217</v>
      </c>
      <c r="G107" s="100" t="s">
        <v>160</v>
      </c>
      <c r="H107" t="s">
        <v>1564</v>
      </c>
    </row>
    <row r="108" spans="1:8" ht="43.5">
      <c r="A108" s="103" t="s">
        <v>1571</v>
      </c>
      <c r="B108" s="103" t="str">
        <f t="shared" si="1"/>
        <v>93</v>
      </c>
      <c r="C108" s="99">
        <v>1</v>
      </c>
      <c r="D108" s="100" t="s">
        <v>1439</v>
      </c>
      <c r="E108" s="101" t="s">
        <v>1574</v>
      </c>
      <c r="F108" s="102" t="s">
        <v>217</v>
      </c>
      <c r="G108" s="100" t="s">
        <v>137</v>
      </c>
      <c r="H108" t="s">
        <v>1566</v>
      </c>
    </row>
    <row r="109" spans="1:8" ht="43.5">
      <c r="A109" s="103" t="s">
        <v>1575</v>
      </c>
      <c r="B109" s="103" t="str">
        <f t="shared" si="1"/>
        <v>94</v>
      </c>
      <c r="C109" s="99">
        <v>1</v>
      </c>
      <c r="D109" s="100" t="s">
        <v>129</v>
      </c>
      <c r="E109" s="101" t="s">
        <v>1576</v>
      </c>
      <c r="F109" s="102" t="s">
        <v>217</v>
      </c>
      <c r="G109" s="100" t="s">
        <v>127</v>
      </c>
      <c r="H109" t="s">
        <v>1562</v>
      </c>
    </row>
    <row r="110" spans="1:8" ht="43.5">
      <c r="A110" s="103" t="s">
        <v>1575</v>
      </c>
      <c r="B110" s="103" t="str">
        <f t="shared" si="1"/>
        <v>94</v>
      </c>
      <c r="C110" s="99">
        <v>1</v>
      </c>
      <c r="D110" s="100" t="s">
        <v>130</v>
      </c>
      <c r="E110" s="101" t="s">
        <v>1577</v>
      </c>
      <c r="F110" s="102" t="s">
        <v>217</v>
      </c>
      <c r="G110" s="100" t="s">
        <v>160</v>
      </c>
      <c r="H110" t="s">
        <v>1564</v>
      </c>
    </row>
    <row r="111" spans="1:8" ht="43.5">
      <c r="A111" s="103" t="s">
        <v>1575</v>
      </c>
      <c r="B111" s="103" t="str">
        <f t="shared" si="1"/>
        <v>94</v>
      </c>
      <c r="C111" s="99">
        <v>1</v>
      </c>
      <c r="D111" s="100" t="s">
        <v>1439</v>
      </c>
      <c r="E111" s="101" t="s">
        <v>1578</v>
      </c>
      <c r="F111" s="102" t="s">
        <v>217</v>
      </c>
      <c r="G111" s="100" t="s">
        <v>137</v>
      </c>
      <c r="H111" t="s">
        <v>1566</v>
      </c>
    </row>
    <row r="112" spans="1:8" ht="43.5">
      <c r="A112" s="103" t="s">
        <v>1579</v>
      </c>
      <c r="B112" s="103" t="str">
        <f t="shared" si="1"/>
        <v>95</v>
      </c>
      <c r="C112" s="99">
        <v>1</v>
      </c>
      <c r="D112" s="100" t="s">
        <v>129</v>
      </c>
      <c r="E112" s="101" t="s">
        <v>1580</v>
      </c>
      <c r="F112" s="102" t="s">
        <v>217</v>
      </c>
      <c r="G112" s="100" t="s">
        <v>127</v>
      </c>
      <c r="H112" t="s">
        <v>1562</v>
      </c>
    </row>
    <row r="113" spans="1:8" ht="43.5">
      <c r="A113" s="103" t="s">
        <v>1579</v>
      </c>
      <c r="B113" s="103" t="str">
        <f t="shared" si="1"/>
        <v>95</v>
      </c>
      <c r="C113" s="99">
        <v>1</v>
      </c>
      <c r="D113" s="100" t="s">
        <v>130</v>
      </c>
      <c r="E113" s="101" t="s">
        <v>1581</v>
      </c>
      <c r="F113" s="102" t="s">
        <v>217</v>
      </c>
      <c r="G113" s="100" t="s">
        <v>160</v>
      </c>
      <c r="H113" t="s">
        <v>1564</v>
      </c>
    </row>
    <row r="114" spans="1:8" ht="43.5">
      <c r="A114" s="103" t="s">
        <v>1579</v>
      </c>
      <c r="B114" s="103" t="str">
        <f t="shared" si="1"/>
        <v>95</v>
      </c>
      <c r="C114" s="99">
        <v>1</v>
      </c>
      <c r="D114" s="100" t="s">
        <v>1439</v>
      </c>
      <c r="E114" s="101" t="s">
        <v>1582</v>
      </c>
      <c r="F114" s="102" t="s">
        <v>217</v>
      </c>
      <c r="G114" s="100" t="s">
        <v>137</v>
      </c>
      <c r="H114" t="s">
        <v>1566</v>
      </c>
    </row>
    <row r="115" spans="1:8" ht="43.5">
      <c r="A115" s="103" t="s">
        <v>1583</v>
      </c>
      <c r="B115" s="103" t="str">
        <f t="shared" si="1"/>
        <v>96</v>
      </c>
      <c r="C115" s="99">
        <v>1</v>
      </c>
      <c r="D115" s="100" t="s">
        <v>129</v>
      </c>
      <c r="E115" s="101" t="s">
        <v>1584</v>
      </c>
      <c r="F115" s="102" t="s">
        <v>217</v>
      </c>
      <c r="G115" s="100" t="s">
        <v>127</v>
      </c>
      <c r="H115" t="s">
        <v>1562</v>
      </c>
    </row>
    <row r="116" spans="1:8" ht="43.5">
      <c r="A116" s="103" t="s">
        <v>1583</v>
      </c>
      <c r="B116" s="103" t="str">
        <f t="shared" si="1"/>
        <v>96</v>
      </c>
      <c r="C116" s="99">
        <v>1</v>
      </c>
      <c r="D116" s="100" t="s">
        <v>130</v>
      </c>
      <c r="E116" s="101" t="s">
        <v>1585</v>
      </c>
      <c r="F116" s="102" t="s">
        <v>217</v>
      </c>
      <c r="G116" s="100" t="s">
        <v>160</v>
      </c>
      <c r="H116" t="s">
        <v>1564</v>
      </c>
    </row>
    <row r="117" spans="1:8" ht="43.5">
      <c r="A117" s="103" t="s">
        <v>1583</v>
      </c>
      <c r="B117" s="103" t="str">
        <f t="shared" si="1"/>
        <v>96</v>
      </c>
      <c r="C117" s="99">
        <v>1</v>
      </c>
      <c r="D117" s="100" t="s">
        <v>1439</v>
      </c>
      <c r="E117" s="101" t="s">
        <v>1586</v>
      </c>
      <c r="F117" s="102" t="s">
        <v>217</v>
      </c>
      <c r="G117" s="100" t="s">
        <v>137</v>
      </c>
      <c r="H117" t="s">
        <v>1566</v>
      </c>
    </row>
    <row r="118" spans="1:8" ht="43.5">
      <c r="A118" s="103" t="s">
        <v>1587</v>
      </c>
      <c r="B118" s="103" t="str">
        <f t="shared" si="1"/>
        <v>97</v>
      </c>
      <c r="C118" s="99">
        <v>1</v>
      </c>
      <c r="D118" s="100" t="s">
        <v>129</v>
      </c>
      <c r="E118" s="101" t="s">
        <v>1588</v>
      </c>
      <c r="F118" s="102" t="s">
        <v>217</v>
      </c>
      <c r="G118" s="100" t="s">
        <v>127</v>
      </c>
      <c r="H118" t="s">
        <v>1562</v>
      </c>
    </row>
    <row r="119" spans="1:8" ht="43.5">
      <c r="A119" s="103" t="s">
        <v>1587</v>
      </c>
      <c r="B119" s="103" t="str">
        <f t="shared" si="1"/>
        <v>97</v>
      </c>
      <c r="C119" s="99">
        <v>1</v>
      </c>
      <c r="D119" s="100" t="s">
        <v>130</v>
      </c>
      <c r="E119" s="101" t="s">
        <v>1589</v>
      </c>
      <c r="F119" s="102" t="s">
        <v>217</v>
      </c>
      <c r="G119" s="100" t="s">
        <v>160</v>
      </c>
      <c r="H119" t="s">
        <v>1564</v>
      </c>
    </row>
    <row r="120" spans="1:8" ht="43.5">
      <c r="A120" s="103" t="s">
        <v>1587</v>
      </c>
      <c r="B120" s="103" t="str">
        <f t="shared" si="1"/>
        <v>97</v>
      </c>
      <c r="C120" s="99">
        <v>1</v>
      </c>
      <c r="D120" s="100" t="s">
        <v>1439</v>
      </c>
      <c r="E120" s="101" t="s">
        <v>1590</v>
      </c>
      <c r="F120" s="102" t="s">
        <v>217</v>
      </c>
      <c r="G120" s="100" t="s">
        <v>137</v>
      </c>
      <c r="H120" t="s">
        <v>1566</v>
      </c>
    </row>
    <row r="121" spans="1:8" ht="43.5">
      <c r="A121" s="103" t="s">
        <v>1591</v>
      </c>
      <c r="B121" s="103" t="str">
        <f t="shared" si="1"/>
        <v>98</v>
      </c>
      <c r="C121" s="99">
        <v>1</v>
      </c>
      <c r="D121" s="100" t="s">
        <v>129</v>
      </c>
      <c r="E121" s="101" t="s">
        <v>1592</v>
      </c>
      <c r="F121" s="102" t="s">
        <v>217</v>
      </c>
      <c r="G121" s="100" t="s">
        <v>127</v>
      </c>
      <c r="H121" t="s">
        <v>1562</v>
      </c>
    </row>
    <row r="122" spans="1:8" ht="43.5">
      <c r="A122" s="103" t="s">
        <v>1591</v>
      </c>
      <c r="B122" s="103" t="str">
        <f t="shared" si="1"/>
        <v>98</v>
      </c>
      <c r="C122" s="99">
        <v>1</v>
      </c>
      <c r="D122" s="100" t="s">
        <v>130</v>
      </c>
      <c r="E122" s="101" t="s">
        <v>1593</v>
      </c>
      <c r="F122" s="102" t="s">
        <v>217</v>
      </c>
      <c r="G122" s="100" t="s">
        <v>160</v>
      </c>
      <c r="H122" t="s">
        <v>1564</v>
      </c>
    </row>
    <row r="123" spans="1:8" ht="43.5">
      <c r="A123" s="103" t="s">
        <v>1591</v>
      </c>
      <c r="B123" s="103" t="str">
        <f t="shared" si="1"/>
        <v>98</v>
      </c>
      <c r="C123" s="99">
        <v>1</v>
      </c>
      <c r="D123" s="100" t="s">
        <v>1439</v>
      </c>
      <c r="E123" s="101" t="s">
        <v>1594</v>
      </c>
      <c r="F123" s="102" t="s">
        <v>217</v>
      </c>
      <c r="G123" s="100" t="s">
        <v>137</v>
      </c>
      <c r="H123" t="s">
        <v>1566</v>
      </c>
    </row>
    <row r="124" spans="1:8" ht="58">
      <c r="A124" s="103" t="s">
        <v>1595</v>
      </c>
      <c r="B124" s="103" t="str">
        <f t="shared" si="1"/>
        <v>99</v>
      </c>
      <c r="C124" s="99">
        <v>1</v>
      </c>
      <c r="D124" s="100" t="s">
        <v>1424</v>
      </c>
      <c r="E124" s="101" t="s">
        <v>1596</v>
      </c>
      <c r="F124" s="102" t="s">
        <v>27</v>
      </c>
      <c r="G124" s="100" t="s">
        <v>12</v>
      </c>
      <c r="H124" t="s">
        <v>1597</v>
      </c>
    </row>
    <row r="125" spans="1:8" ht="58">
      <c r="A125" s="103" t="s">
        <v>1595</v>
      </c>
      <c r="B125" s="103" t="str">
        <f t="shared" si="1"/>
        <v>99</v>
      </c>
      <c r="C125" s="99">
        <v>1</v>
      </c>
      <c r="D125" s="100" t="s">
        <v>1427</v>
      </c>
      <c r="E125" s="101" t="s">
        <v>1598</v>
      </c>
      <c r="F125" s="102" t="s">
        <v>27</v>
      </c>
      <c r="G125" s="100" t="s">
        <v>12</v>
      </c>
      <c r="H125" t="s">
        <v>1597</v>
      </c>
    </row>
    <row r="126" spans="1:8" ht="58">
      <c r="A126" s="103" t="s">
        <v>1595</v>
      </c>
      <c r="B126" s="103" t="str">
        <f t="shared" si="1"/>
        <v>99</v>
      </c>
      <c r="C126" s="99">
        <v>1</v>
      </c>
      <c r="D126" s="100" t="s">
        <v>1429</v>
      </c>
      <c r="E126" s="101" t="s">
        <v>1599</v>
      </c>
      <c r="F126" s="102" t="s">
        <v>27</v>
      </c>
      <c r="G126" s="100" t="s">
        <v>12</v>
      </c>
      <c r="H126" t="s">
        <v>1597</v>
      </c>
    </row>
    <row r="127" spans="1:8" ht="58">
      <c r="A127" s="103" t="s">
        <v>1595</v>
      </c>
      <c r="B127" s="103" t="str">
        <f t="shared" si="1"/>
        <v>99</v>
      </c>
      <c r="C127" s="99">
        <v>1</v>
      </c>
      <c r="D127" s="100" t="s">
        <v>1431</v>
      </c>
      <c r="E127" s="101" t="s">
        <v>1600</v>
      </c>
      <c r="F127" s="102" t="s">
        <v>27</v>
      </c>
      <c r="G127" s="100" t="s">
        <v>12</v>
      </c>
      <c r="H127" t="s">
        <v>1597</v>
      </c>
    </row>
    <row r="128" spans="1:8" ht="58">
      <c r="A128" s="103" t="s">
        <v>1595</v>
      </c>
      <c r="B128" s="103" t="str">
        <f t="shared" si="1"/>
        <v>99</v>
      </c>
      <c r="C128" s="99">
        <v>1</v>
      </c>
      <c r="D128" s="100" t="s">
        <v>1433</v>
      </c>
      <c r="E128" s="101" t="s">
        <v>1601</v>
      </c>
      <c r="F128" s="102" t="s">
        <v>27</v>
      </c>
      <c r="G128" s="100" t="s">
        <v>12</v>
      </c>
      <c r="H128" t="s">
        <v>1597</v>
      </c>
    </row>
    <row r="129" spans="1:8" ht="58">
      <c r="A129" s="103" t="s">
        <v>1595</v>
      </c>
      <c r="B129" s="103" t="str">
        <f t="shared" si="1"/>
        <v>99</v>
      </c>
      <c r="C129" s="99">
        <v>1</v>
      </c>
      <c r="D129" s="100" t="s">
        <v>1435</v>
      </c>
      <c r="E129" s="101" t="s">
        <v>1602</v>
      </c>
      <c r="F129" s="102" t="s">
        <v>27</v>
      </c>
      <c r="G129" s="100" t="s">
        <v>12</v>
      </c>
      <c r="H129" t="s">
        <v>1597</v>
      </c>
    </row>
    <row r="130" spans="1:8" ht="58">
      <c r="A130" s="103" t="s">
        <v>1595</v>
      </c>
      <c r="B130" s="103" t="str">
        <f t="shared" ref="B130:B193" si="2">DEC2HEX(A130, 2)</f>
        <v>99</v>
      </c>
      <c r="C130" s="99">
        <v>1</v>
      </c>
      <c r="D130" s="100" t="s">
        <v>1437</v>
      </c>
      <c r="E130" s="101" t="s">
        <v>1603</v>
      </c>
      <c r="F130" s="102" t="s">
        <v>27</v>
      </c>
      <c r="G130" s="100" t="s">
        <v>12</v>
      </c>
      <c r="H130" t="s">
        <v>1597</v>
      </c>
    </row>
    <row r="131" spans="1:8" ht="58">
      <c r="A131" s="103" t="s">
        <v>1595</v>
      </c>
      <c r="B131" s="103" t="str">
        <f t="shared" si="2"/>
        <v>99</v>
      </c>
      <c r="C131" s="99">
        <v>1</v>
      </c>
      <c r="D131" s="100" t="s">
        <v>1439</v>
      </c>
      <c r="E131" s="101" t="s">
        <v>1604</v>
      </c>
      <c r="F131" s="102" t="s">
        <v>27</v>
      </c>
      <c r="G131" s="100" t="s">
        <v>12</v>
      </c>
      <c r="H131" t="s">
        <v>1597</v>
      </c>
    </row>
    <row r="132" spans="1:8" ht="58">
      <c r="A132" s="103" t="s">
        <v>1605</v>
      </c>
      <c r="B132" s="103" t="str">
        <f t="shared" si="2"/>
        <v>9A</v>
      </c>
      <c r="C132" s="99">
        <v>1</v>
      </c>
      <c r="D132" s="100" t="s">
        <v>399</v>
      </c>
      <c r="E132" s="101" t="s">
        <v>1606</v>
      </c>
      <c r="F132" s="102" t="s">
        <v>27</v>
      </c>
      <c r="G132" s="100" t="s">
        <v>32</v>
      </c>
      <c r="H132" t="s">
        <v>1607</v>
      </c>
    </row>
    <row r="133" spans="1:8" ht="58">
      <c r="A133" s="103" t="s">
        <v>1605</v>
      </c>
      <c r="B133" s="103" t="str">
        <f t="shared" si="2"/>
        <v>9A</v>
      </c>
      <c r="C133" s="99">
        <v>1</v>
      </c>
      <c r="D133" s="100" t="s">
        <v>552</v>
      </c>
      <c r="E133" s="101" t="s">
        <v>1608</v>
      </c>
      <c r="F133" s="102" t="s">
        <v>27</v>
      </c>
      <c r="G133" s="100" t="s">
        <v>32</v>
      </c>
      <c r="H133" t="s">
        <v>1607</v>
      </c>
    </row>
    <row r="134" spans="1:8" ht="58">
      <c r="A134" s="103" t="s">
        <v>1605</v>
      </c>
      <c r="B134" s="103" t="str">
        <f t="shared" si="2"/>
        <v>9A</v>
      </c>
      <c r="C134" s="99">
        <v>1</v>
      </c>
      <c r="D134" s="100" t="s">
        <v>698</v>
      </c>
      <c r="E134" s="101" t="s">
        <v>1609</v>
      </c>
      <c r="F134" s="102" t="s">
        <v>27</v>
      </c>
      <c r="G134" s="100" t="s">
        <v>32</v>
      </c>
      <c r="H134" t="s">
        <v>1607</v>
      </c>
    </row>
    <row r="135" spans="1:8" ht="58">
      <c r="A135" s="103" t="s">
        <v>1605</v>
      </c>
      <c r="B135" s="103" t="str">
        <f t="shared" si="2"/>
        <v>9A</v>
      </c>
      <c r="C135" s="99">
        <v>1</v>
      </c>
      <c r="D135" s="100" t="s">
        <v>13</v>
      </c>
      <c r="E135" s="101" t="s">
        <v>1610</v>
      </c>
      <c r="F135" s="102" t="s">
        <v>27</v>
      </c>
      <c r="G135" s="100" t="s">
        <v>32</v>
      </c>
      <c r="H135" t="s">
        <v>1607</v>
      </c>
    </row>
    <row r="136" spans="1:8" ht="58">
      <c r="A136" s="103" t="s">
        <v>1611</v>
      </c>
      <c r="B136" s="103" t="str">
        <f t="shared" si="2"/>
        <v>9B</v>
      </c>
      <c r="C136" s="99">
        <v>1</v>
      </c>
      <c r="D136" s="100" t="s">
        <v>399</v>
      </c>
      <c r="E136" s="101" t="s">
        <v>1612</v>
      </c>
      <c r="F136" s="102" t="s">
        <v>27</v>
      </c>
      <c r="G136" s="100" t="s">
        <v>32</v>
      </c>
      <c r="H136" t="s">
        <v>1607</v>
      </c>
    </row>
    <row r="137" spans="1:8" ht="58">
      <c r="A137" s="103" t="s">
        <v>1611</v>
      </c>
      <c r="B137" s="103" t="str">
        <f t="shared" si="2"/>
        <v>9B</v>
      </c>
      <c r="C137" s="99">
        <v>1</v>
      </c>
      <c r="D137" s="100" t="s">
        <v>552</v>
      </c>
      <c r="E137" s="101" t="s">
        <v>1613</v>
      </c>
      <c r="F137" s="102" t="s">
        <v>27</v>
      </c>
      <c r="G137" s="100" t="s">
        <v>32</v>
      </c>
      <c r="H137" t="s">
        <v>1607</v>
      </c>
    </row>
    <row r="138" spans="1:8" ht="58">
      <c r="A138" s="103" t="s">
        <v>1611</v>
      </c>
      <c r="B138" s="103" t="str">
        <f t="shared" si="2"/>
        <v>9B</v>
      </c>
      <c r="C138" s="99">
        <v>1</v>
      </c>
      <c r="D138" s="100" t="s">
        <v>698</v>
      </c>
      <c r="E138" s="101" t="s">
        <v>1614</v>
      </c>
      <c r="F138" s="102" t="s">
        <v>27</v>
      </c>
      <c r="G138" s="100" t="s">
        <v>32</v>
      </c>
      <c r="H138" t="s">
        <v>1607</v>
      </c>
    </row>
    <row r="139" spans="1:8" ht="58">
      <c r="A139" s="103" t="s">
        <v>1611</v>
      </c>
      <c r="B139" s="103" t="str">
        <f t="shared" si="2"/>
        <v>9B</v>
      </c>
      <c r="C139" s="99">
        <v>1</v>
      </c>
      <c r="D139" s="100" t="s">
        <v>13</v>
      </c>
      <c r="E139" s="101" t="s">
        <v>1615</v>
      </c>
      <c r="F139" s="102" t="s">
        <v>27</v>
      </c>
      <c r="G139" s="100" t="s">
        <v>32</v>
      </c>
      <c r="H139" t="s">
        <v>1607</v>
      </c>
    </row>
    <row r="140" spans="1:8" ht="58">
      <c r="A140" s="103" t="s">
        <v>1616</v>
      </c>
      <c r="B140" s="103" t="str">
        <f t="shared" si="2"/>
        <v>9C</v>
      </c>
      <c r="C140" s="99">
        <v>1</v>
      </c>
      <c r="D140" s="100" t="s">
        <v>129</v>
      </c>
      <c r="E140" s="101" t="s">
        <v>1617</v>
      </c>
      <c r="F140" s="102" t="s">
        <v>27</v>
      </c>
      <c r="G140" s="100" t="s">
        <v>30</v>
      </c>
      <c r="H140" t="s">
        <v>1618</v>
      </c>
    </row>
    <row r="141" spans="1:8" ht="58">
      <c r="A141" s="103" t="s">
        <v>1616</v>
      </c>
      <c r="B141" s="103" t="str">
        <f t="shared" si="2"/>
        <v>9C</v>
      </c>
      <c r="C141" s="99">
        <v>1</v>
      </c>
      <c r="D141" s="100" t="s">
        <v>227</v>
      </c>
      <c r="E141" s="101" t="s">
        <v>1619</v>
      </c>
      <c r="F141" s="102" t="s">
        <v>27</v>
      </c>
      <c r="G141" s="100" t="s">
        <v>30</v>
      </c>
      <c r="H141" t="s">
        <v>1618</v>
      </c>
    </row>
    <row r="142" spans="1:8" ht="58">
      <c r="A142" s="103" t="s">
        <v>1620</v>
      </c>
      <c r="B142" s="103" t="str">
        <f t="shared" si="2"/>
        <v>9D</v>
      </c>
      <c r="C142" s="99">
        <v>1</v>
      </c>
      <c r="D142" s="100" t="s">
        <v>129</v>
      </c>
      <c r="E142" s="101" t="s">
        <v>1621</v>
      </c>
      <c r="F142" s="102" t="s">
        <v>27</v>
      </c>
      <c r="G142" s="100" t="s">
        <v>30</v>
      </c>
      <c r="H142" t="s">
        <v>1618</v>
      </c>
    </row>
    <row r="143" spans="1:8" ht="58">
      <c r="A143" s="103" t="s">
        <v>1620</v>
      </c>
      <c r="B143" s="103" t="str">
        <f t="shared" si="2"/>
        <v>9D</v>
      </c>
      <c r="C143" s="99">
        <v>1</v>
      </c>
      <c r="D143" s="100" t="s">
        <v>227</v>
      </c>
      <c r="E143" s="101" t="s">
        <v>1622</v>
      </c>
      <c r="F143" s="102" t="s">
        <v>27</v>
      </c>
      <c r="G143" s="100" t="s">
        <v>30</v>
      </c>
      <c r="H143" t="s">
        <v>1618</v>
      </c>
    </row>
    <row r="144" spans="1:8" ht="58">
      <c r="A144" s="103" t="s">
        <v>1623</v>
      </c>
      <c r="B144" s="103" t="str">
        <f t="shared" si="2"/>
        <v>9E</v>
      </c>
      <c r="C144" s="99">
        <v>1</v>
      </c>
      <c r="D144" s="100" t="s">
        <v>129</v>
      </c>
      <c r="E144" s="101" t="s">
        <v>1624</v>
      </c>
      <c r="F144" s="102" t="s">
        <v>27</v>
      </c>
      <c r="G144" s="100" t="s">
        <v>30</v>
      </c>
      <c r="H144" t="s">
        <v>1618</v>
      </c>
    </row>
    <row r="145" spans="1:8" ht="58">
      <c r="A145" s="103" t="s">
        <v>1623</v>
      </c>
      <c r="B145" s="103" t="str">
        <f t="shared" si="2"/>
        <v>9E</v>
      </c>
      <c r="C145" s="99">
        <v>1</v>
      </c>
      <c r="D145" s="100" t="s">
        <v>227</v>
      </c>
      <c r="E145" s="101" t="s">
        <v>1625</v>
      </c>
      <c r="F145" s="102" t="s">
        <v>27</v>
      </c>
      <c r="G145" s="100" t="s">
        <v>30</v>
      </c>
      <c r="H145" t="s">
        <v>1618</v>
      </c>
    </row>
    <row r="146" spans="1:8" ht="58">
      <c r="A146" s="103" t="s">
        <v>1626</v>
      </c>
      <c r="B146" s="103" t="str">
        <f t="shared" si="2"/>
        <v>9F</v>
      </c>
      <c r="C146" s="99">
        <v>1</v>
      </c>
      <c r="D146" s="100" t="s">
        <v>129</v>
      </c>
      <c r="E146" s="101" t="s">
        <v>1627</v>
      </c>
      <c r="F146" s="102" t="s">
        <v>27</v>
      </c>
      <c r="G146" s="100" t="s">
        <v>30</v>
      </c>
      <c r="H146" t="s">
        <v>1618</v>
      </c>
    </row>
    <row r="147" spans="1:8" ht="58">
      <c r="A147" s="103" t="s">
        <v>1626</v>
      </c>
      <c r="B147" s="103" t="str">
        <f t="shared" si="2"/>
        <v>9F</v>
      </c>
      <c r="C147" s="99">
        <v>1</v>
      </c>
      <c r="D147" s="100" t="s">
        <v>227</v>
      </c>
      <c r="E147" s="101" t="s">
        <v>1628</v>
      </c>
      <c r="F147" s="102" t="s">
        <v>27</v>
      </c>
      <c r="G147" s="100" t="s">
        <v>30</v>
      </c>
      <c r="H147" t="s">
        <v>1618</v>
      </c>
    </row>
    <row r="148" spans="1:8" ht="43.5">
      <c r="A148" s="103" t="s">
        <v>1629</v>
      </c>
      <c r="B148" s="103" t="str">
        <f t="shared" si="2"/>
        <v>A0</v>
      </c>
      <c r="C148" s="99">
        <v>1</v>
      </c>
      <c r="D148" s="100" t="s">
        <v>1424</v>
      </c>
      <c r="E148" s="101" t="s">
        <v>1630</v>
      </c>
      <c r="F148" s="102" t="s">
        <v>27</v>
      </c>
      <c r="G148" s="100" t="s">
        <v>12</v>
      </c>
      <c r="H148" t="s">
        <v>1631</v>
      </c>
    </row>
    <row r="149" spans="1:8" ht="43.5">
      <c r="A149" s="103" t="s">
        <v>1629</v>
      </c>
      <c r="B149" s="103" t="str">
        <f t="shared" si="2"/>
        <v>A0</v>
      </c>
      <c r="C149" s="99">
        <v>1</v>
      </c>
      <c r="D149" s="100" t="s">
        <v>1427</v>
      </c>
      <c r="E149" s="101" t="s">
        <v>1632</v>
      </c>
      <c r="F149" s="102" t="s">
        <v>27</v>
      </c>
      <c r="G149" s="100" t="s">
        <v>12</v>
      </c>
      <c r="H149" t="s">
        <v>1631</v>
      </c>
    </row>
    <row r="150" spans="1:8" ht="43.5">
      <c r="A150" s="103" t="s">
        <v>1629</v>
      </c>
      <c r="B150" s="103" t="str">
        <f t="shared" si="2"/>
        <v>A0</v>
      </c>
      <c r="C150" s="99">
        <v>1</v>
      </c>
      <c r="D150" s="100" t="s">
        <v>1429</v>
      </c>
      <c r="E150" s="101" t="s">
        <v>1633</v>
      </c>
      <c r="F150" s="102" t="s">
        <v>27</v>
      </c>
      <c r="G150" s="100" t="s">
        <v>12</v>
      </c>
      <c r="H150" t="s">
        <v>1631</v>
      </c>
    </row>
    <row r="151" spans="1:8" ht="43.5">
      <c r="A151" s="103" t="s">
        <v>1629</v>
      </c>
      <c r="B151" s="103" t="str">
        <f t="shared" si="2"/>
        <v>A0</v>
      </c>
      <c r="C151" s="99">
        <v>1</v>
      </c>
      <c r="D151" s="100" t="s">
        <v>1431</v>
      </c>
      <c r="E151" s="101" t="s">
        <v>1634</v>
      </c>
      <c r="F151" s="102" t="s">
        <v>27</v>
      </c>
      <c r="G151" s="100" t="s">
        <v>12</v>
      </c>
      <c r="H151" t="s">
        <v>1631</v>
      </c>
    </row>
    <row r="152" spans="1:8" ht="43.5">
      <c r="A152" s="103" t="s">
        <v>1629</v>
      </c>
      <c r="B152" s="103" t="str">
        <f t="shared" si="2"/>
        <v>A0</v>
      </c>
      <c r="C152" s="99">
        <v>1</v>
      </c>
      <c r="D152" s="100" t="s">
        <v>1433</v>
      </c>
      <c r="E152" s="101" t="s">
        <v>1635</v>
      </c>
      <c r="F152" s="102" t="s">
        <v>27</v>
      </c>
      <c r="G152" s="100" t="s">
        <v>12</v>
      </c>
      <c r="H152" t="s">
        <v>1631</v>
      </c>
    </row>
    <row r="153" spans="1:8" ht="43.5">
      <c r="A153" s="103" t="s">
        <v>1629</v>
      </c>
      <c r="B153" s="103" t="str">
        <f t="shared" si="2"/>
        <v>A0</v>
      </c>
      <c r="C153" s="99">
        <v>1</v>
      </c>
      <c r="D153" s="100" t="s">
        <v>1435</v>
      </c>
      <c r="E153" s="101" t="s">
        <v>1636</v>
      </c>
      <c r="F153" s="102" t="s">
        <v>27</v>
      </c>
      <c r="G153" s="100" t="s">
        <v>12</v>
      </c>
      <c r="H153" t="s">
        <v>1631</v>
      </c>
    </row>
    <row r="154" spans="1:8" ht="43.5">
      <c r="A154" s="103" t="s">
        <v>1629</v>
      </c>
      <c r="B154" s="103" t="str">
        <f t="shared" si="2"/>
        <v>A0</v>
      </c>
      <c r="C154" s="99">
        <v>1</v>
      </c>
      <c r="D154" s="100" t="s">
        <v>1437</v>
      </c>
      <c r="E154" s="101" t="s">
        <v>1637</v>
      </c>
      <c r="F154" s="102" t="s">
        <v>27</v>
      </c>
      <c r="G154" s="100" t="s">
        <v>12</v>
      </c>
      <c r="H154" t="s">
        <v>1631</v>
      </c>
    </row>
    <row r="155" spans="1:8" ht="43.5">
      <c r="A155" s="103" t="s">
        <v>1629</v>
      </c>
      <c r="B155" s="103" t="str">
        <f t="shared" si="2"/>
        <v>A0</v>
      </c>
      <c r="C155" s="99">
        <v>1</v>
      </c>
      <c r="D155" s="100" t="s">
        <v>1439</v>
      </c>
      <c r="E155" s="101" t="s">
        <v>1638</v>
      </c>
      <c r="F155" s="102" t="s">
        <v>27</v>
      </c>
      <c r="G155" s="100" t="s">
        <v>12</v>
      </c>
      <c r="H155" t="s">
        <v>1631</v>
      </c>
    </row>
    <row r="156" spans="1:8" ht="43.5">
      <c r="A156" s="103" t="s">
        <v>1639</v>
      </c>
      <c r="B156" s="103" t="str">
        <f t="shared" si="2"/>
        <v>A1</v>
      </c>
      <c r="C156" s="99">
        <v>1</v>
      </c>
      <c r="D156" s="100" t="s">
        <v>1424</v>
      </c>
      <c r="E156" s="101" t="s">
        <v>1640</v>
      </c>
      <c r="F156" s="102" t="s">
        <v>27</v>
      </c>
      <c r="G156" s="100" t="s">
        <v>12</v>
      </c>
      <c r="H156" t="s">
        <v>1641</v>
      </c>
    </row>
    <row r="157" spans="1:8" ht="43.5">
      <c r="A157" s="103" t="s">
        <v>1639</v>
      </c>
      <c r="B157" s="103" t="str">
        <f t="shared" si="2"/>
        <v>A1</v>
      </c>
      <c r="C157" s="99">
        <v>1</v>
      </c>
      <c r="D157" s="100" t="s">
        <v>1427</v>
      </c>
      <c r="E157" s="101" t="s">
        <v>1642</v>
      </c>
      <c r="F157" s="102" t="s">
        <v>27</v>
      </c>
      <c r="G157" s="100" t="s">
        <v>12</v>
      </c>
      <c r="H157" t="s">
        <v>1641</v>
      </c>
    </row>
    <row r="158" spans="1:8" ht="43.5">
      <c r="A158" s="103" t="s">
        <v>1639</v>
      </c>
      <c r="B158" s="103" t="str">
        <f t="shared" si="2"/>
        <v>A1</v>
      </c>
      <c r="C158" s="99">
        <v>1</v>
      </c>
      <c r="D158" s="100" t="s">
        <v>1429</v>
      </c>
      <c r="E158" s="101" t="s">
        <v>1643</v>
      </c>
      <c r="F158" s="102" t="s">
        <v>27</v>
      </c>
      <c r="G158" s="100" t="s">
        <v>12</v>
      </c>
      <c r="H158" t="s">
        <v>1641</v>
      </c>
    </row>
    <row r="159" spans="1:8" ht="43.5">
      <c r="A159" s="103" t="s">
        <v>1639</v>
      </c>
      <c r="B159" s="103" t="str">
        <f t="shared" si="2"/>
        <v>A1</v>
      </c>
      <c r="C159" s="99">
        <v>1</v>
      </c>
      <c r="D159" s="100" t="s">
        <v>1431</v>
      </c>
      <c r="E159" s="101" t="s">
        <v>1644</v>
      </c>
      <c r="F159" s="102" t="s">
        <v>27</v>
      </c>
      <c r="G159" s="100" t="s">
        <v>12</v>
      </c>
      <c r="H159" t="s">
        <v>1641</v>
      </c>
    </row>
    <row r="160" spans="1:8" ht="43.5">
      <c r="A160" s="103" t="s">
        <v>1639</v>
      </c>
      <c r="B160" s="103" t="str">
        <f t="shared" si="2"/>
        <v>A1</v>
      </c>
      <c r="C160" s="99">
        <v>1</v>
      </c>
      <c r="D160" s="100" t="s">
        <v>1433</v>
      </c>
      <c r="E160" s="101" t="s">
        <v>1645</v>
      </c>
      <c r="F160" s="102" t="s">
        <v>27</v>
      </c>
      <c r="G160" s="100" t="s">
        <v>12</v>
      </c>
      <c r="H160" t="s">
        <v>1641</v>
      </c>
    </row>
    <row r="161" spans="1:8" ht="43.5">
      <c r="A161" s="103" t="s">
        <v>1639</v>
      </c>
      <c r="B161" s="103" t="str">
        <f t="shared" si="2"/>
        <v>A1</v>
      </c>
      <c r="C161" s="99">
        <v>1</v>
      </c>
      <c r="D161" s="100" t="s">
        <v>1435</v>
      </c>
      <c r="E161" s="101" t="s">
        <v>1646</v>
      </c>
      <c r="F161" s="102" t="s">
        <v>27</v>
      </c>
      <c r="G161" s="100" t="s">
        <v>12</v>
      </c>
      <c r="H161" t="s">
        <v>1641</v>
      </c>
    </row>
    <row r="162" spans="1:8" ht="43.5">
      <c r="A162" s="103" t="s">
        <v>1639</v>
      </c>
      <c r="B162" s="103" t="str">
        <f t="shared" si="2"/>
        <v>A1</v>
      </c>
      <c r="C162" s="99">
        <v>1</v>
      </c>
      <c r="D162" s="100" t="s">
        <v>1437</v>
      </c>
      <c r="E162" s="101" t="s">
        <v>1647</v>
      </c>
      <c r="F162" s="102" t="s">
        <v>27</v>
      </c>
      <c r="G162" s="100" t="s">
        <v>12</v>
      </c>
      <c r="H162" t="s">
        <v>1641</v>
      </c>
    </row>
    <row r="163" spans="1:8" ht="43.5">
      <c r="A163" s="103" t="s">
        <v>1639</v>
      </c>
      <c r="B163" s="103" t="str">
        <f t="shared" si="2"/>
        <v>A1</v>
      </c>
      <c r="C163" s="99">
        <v>1</v>
      </c>
      <c r="D163" s="100" t="s">
        <v>1439</v>
      </c>
      <c r="E163" s="101" t="s">
        <v>1648</v>
      </c>
      <c r="F163" s="102" t="s">
        <v>27</v>
      </c>
      <c r="G163" s="100" t="s">
        <v>12</v>
      </c>
      <c r="H163" t="s">
        <v>1641</v>
      </c>
    </row>
    <row r="164" spans="1:8" ht="58">
      <c r="A164" s="103" t="s">
        <v>1649</v>
      </c>
      <c r="B164" s="103" t="str">
        <f t="shared" si="2"/>
        <v>A2</v>
      </c>
      <c r="C164" s="99">
        <v>1</v>
      </c>
      <c r="D164" s="100" t="s">
        <v>129</v>
      </c>
      <c r="E164" s="101" t="s">
        <v>1650</v>
      </c>
      <c r="F164" s="102" t="s">
        <v>27</v>
      </c>
      <c r="G164" s="100" t="s">
        <v>544</v>
      </c>
      <c r="H164" t="s">
        <v>1651</v>
      </c>
    </row>
    <row r="165" spans="1:8" ht="58">
      <c r="A165" s="103" t="s">
        <v>1649</v>
      </c>
      <c r="B165" s="103" t="str">
        <f t="shared" si="2"/>
        <v>A2</v>
      </c>
      <c r="C165" s="99">
        <v>1</v>
      </c>
      <c r="D165" s="100" t="s">
        <v>227</v>
      </c>
      <c r="E165" s="101" t="s">
        <v>1652</v>
      </c>
      <c r="F165" s="102" t="s">
        <v>27</v>
      </c>
      <c r="G165" s="100" t="s">
        <v>544</v>
      </c>
      <c r="H165" t="s">
        <v>1651</v>
      </c>
    </row>
    <row r="166" spans="1:8" ht="58">
      <c r="A166" s="103" t="s">
        <v>1653</v>
      </c>
      <c r="B166" s="103" t="str">
        <f t="shared" si="2"/>
        <v>A3</v>
      </c>
      <c r="C166" s="99">
        <v>1</v>
      </c>
      <c r="D166" s="100" t="s">
        <v>129</v>
      </c>
      <c r="E166" s="101" t="s">
        <v>1654</v>
      </c>
      <c r="F166" s="102" t="s">
        <v>27</v>
      </c>
      <c r="G166" s="100" t="s">
        <v>544</v>
      </c>
      <c r="H166" t="s">
        <v>1651</v>
      </c>
    </row>
    <row r="167" spans="1:8" ht="58">
      <c r="A167" s="103" t="s">
        <v>1653</v>
      </c>
      <c r="B167" s="103" t="str">
        <f t="shared" si="2"/>
        <v>A3</v>
      </c>
      <c r="C167" s="99">
        <v>1</v>
      </c>
      <c r="D167" s="100" t="s">
        <v>227</v>
      </c>
      <c r="E167" s="101" t="s">
        <v>1655</v>
      </c>
      <c r="F167" s="102" t="s">
        <v>27</v>
      </c>
      <c r="G167" s="100" t="s">
        <v>544</v>
      </c>
      <c r="H167" t="s">
        <v>1651</v>
      </c>
    </row>
    <row r="168" spans="1:8" ht="58">
      <c r="A168" s="103" t="s">
        <v>1656</v>
      </c>
      <c r="B168" s="103" t="str">
        <f t="shared" si="2"/>
        <v>A4</v>
      </c>
      <c r="C168" s="99">
        <v>1</v>
      </c>
      <c r="D168" s="100" t="s">
        <v>129</v>
      </c>
      <c r="E168" s="101" t="s">
        <v>1657</v>
      </c>
      <c r="F168" s="102" t="s">
        <v>27</v>
      </c>
      <c r="G168" s="100" t="s">
        <v>544</v>
      </c>
      <c r="H168" t="s">
        <v>1651</v>
      </c>
    </row>
    <row r="169" spans="1:8" ht="58">
      <c r="A169" s="103" t="s">
        <v>1656</v>
      </c>
      <c r="B169" s="103" t="str">
        <f t="shared" si="2"/>
        <v>A4</v>
      </c>
      <c r="C169" s="99">
        <v>1</v>
      </c>
      <c r="D169" s="100" t="s">
        <v>227</v>
      </c>
      <c r="E169" s="101" t="s">
        <v>1658</v>
      </c>
      <c r="F169" s="102" t="s">
        <v>27</v>
      </c>
      <c r="G169" s="100" t="s">
        <v>544</v>
      </c>
      <c r="H169" t="s">
        <v>1651</v>
      </c>
    </row>
    <row r="170" spans="1:8" ht="58">
      <c r="A170" s="103" t="s">
        <v>1659</v>
      </c>
      <c r="B170" s="103" t="str">
        <f t="shared" si="2"/>
        <v>A5</v>
      </c>
      <c r="C170" s="99">
        <v>1</v>
      </c>
      <c r="D170" s="100" t="s">
        <v>129</v>
      </c>
      <c r="E170" s="101" t="s">
        <v>1660</v>
      </c>
      <c r="F170" s="102" t="s">
        <v>27</v>
      </c>
      <c r="G170" s="100" t="s">
        <v>544</v>
      </c>
      <c r="H170" t="s">
        <v>1651</v>
      </c>
    </row>
    <row r="171" spans="1:8" ht="58">
      <c r="A171" s="103" t="s">
        <v>1659</v>
      </c>
      <c r="B171" s="103" t="str">
        <f t="shared" si="2"/>
        <v>A5</v>
      </c>
      <c r="C171" s="99">
        <v>1</v>
      </c>
      <c r="D171" s="100" t="s">
        <v>227</v>
      </c>
      <c r="E171" s="101" t="s">
        <v>1661</v>
      </c>
      <c r="F171" s="102" t="s">
        <v>27</v>
      </c>
      <c r="G171" s="100" t="s">
        <v>544</v>
      </c>
      <c r="H171" t="s">
        <v>1651</v>
      </c>
    </row>
    <row r="172" spans="1:8" ht="72.5">
      <c r="A172" s="103" t="s">
        <v>1662</v>
      </c>
      <c r="B172" s="103" t="str">
        <f t="shared" si="2"/>
        <v>A6</v>
      </c>
      <c r="C172" s="99">
        <v>1</v>
      </c>
      <c r="D172" s="100" t="s">
        <v>129</v>
      </c>
      <c r="E172" s="101" t="s">
        <v>1663</v>
      </c>
      <c r="F172" s="102" t="s">
        <v>27</v>
      </c>
      <c r="G172" s="100" t="s">
        <v>544</v>
      </c>
      <c r="H172" t="s">
        <v>1664</v>
      </c>
    </row>
    <row r="173" spans="1:8" ht="72.5">
      <c r="A173" s="103" t="s">
        <v>1662</v>
      </c>
      <c r="B173" s="103" t="str">
        <f t="shared" si="2"/>
        <v>A6</v>
      </c>
      <c r="C173" s="99">
        <v>1</v>
      </c>
      <c r="D173" s="100" t="s">
        <v>227</v>
      </c>
      <c r="E173" s="101" t="s">
        <v>1665</v>
      </c>
      <c r="F173" s="102" t="s">
        <v>27</v>
      </c>
      <c r="G173" s="100" t="s">
        <v>544</v>
      </c>
      <c r="H173" t="s">
        <v>1664</v>
      </c>
    </row>
    <row r="174" spans="1:8" ht="72.5">
      <c r="A174" s="103" t="s">
        <v>1666</v>
      </c>
      <c r="B174" s="103" t="str">
        <f t="shared" si="2"/>
        <v>A7</v>
      </c>
      <c r="C174" s="99">
        <v>1</v>
      </c>
      <c r="D174" s="100" t="s">
        <v>129</v>
      </c>
      <c r="E174" s="101" t="s">
        <v>1667</v>
      </c>
      <c r="F174" s="102" t="s">
        <v>27</v>
      </c>
      <c r="G174" s="100" t="s">
        <v>544</v>
      </c>
      <c r="H174" t="s">
        <v>1664</v>
      </c>
    </row>
    <row r="175" spans="1:8" ht="72.5">
      <c r="A175" s="103" t="s">
        <v>1666</v>
      </c>
      <c r="B175" s="103" t="str">
        <f t="shared" si="2"/>
        <v>A7</v>
      </c>
      <c r="C175" s="99">
        <v>1</v>
      </c>
      <c r="D175" s="100" t="s">
        <v>227</v>
      </c>
      <c r="E175" s="101" t="s">
        <v>1668</v>
      </c>
      <c r="F175" s="102" t="s">
        <v>27</v>
      </c>
      <c r="G175" s="100" t="s">
        <v>544</v>
      </c>
      <c r="H175" t="s">
        <v>1664</v>
      </c>
    </row>
    <row r="176" spans="1:8" ht="72.5">
      <c r="A176" s="103" t="s">
        <v>1669</v>
      </c>
      <c r="B176" s="103" t="str">
        <f t="shared" si="2"/>
        <v>A8</v>
      </c>
      <c r="C176" s="99">
        <v>1</v>
      </c>
      <c r="D176" s="100" t="s">
        <v>129</v>
      </c>
      <c r="E176" s="101" t="s">
        <v>1670</v>
      </c>
      <c r="F176" s="102" t="s">
        <v>27</v>
      </c>
      <c r="G176" s="100" t="s">
        <v>544</v>
      </c>
      <c r="H176" t="s">
        <v>1664</v>
      </c>
    </row>
    <row r="177" spans="1:8" ht="72.5">
      <c r="A177" s="103" t="s">
        <v>1669</v>
      </c>
      <c r="B177" s="103" t="str">
        <f t="shared" si="2"/>
        <v>A8</v>
      </c>
      <c r="C177" s="99">
        <v>1</v>
      </c>
      <c r="D177" s="100" t="s">
        <v>227</v>
      </c>
      <c r="E177" s="101" t="s">
        <v>1671</v>
      </c>
      <c r="F177" s="102" t="s">
        <v>27</v>
      </c>
      <c r="G177" s="100" t="s">
        <v>544</v>
      </c>
      <c r="H177" t="s">
        <v>1664</v>
      </c>
    </row>
    <row r="178" spans="1:8" ht="72.5">
      <c r="A178" s="103" t="s">
        <v>1672</v>
      </c>
      <c r="B178" s="103" t="str">
        <f t="shared" si="2"/>
        <v>A9</v>
      </c>
      <c r="C178" s="99">
        <v>1</v>
      </c>
      <c r="D178" s="100" t="s">
        <v>129</v>
      </c>
      <c r="E178" s="101" t="s">
        <v>1673</v>
      </c>
      <c r="F178" s="102" t="s">
        <v>27</v>
      </c>
      <c r="G178" s="100" t="s">
        <v>544</v>
      </c>
      <c r="H178" t="s">
        <v>1664</v>
      </c>
    </row>
    <row r="179" spans="1:8" ht="72.5">
      <c r="A179" s="103" t="s">
        <v>1672</v>
      </c>
      <c r="B179" s="103" t="str">
        <f t="shared" si="2"/>
        <v>A9</v>
      </c>
      <c r="C179" s="99">
        <v>1</v>
      </c>
      <c r="D179" s="100" t="s">
        <v>227</v>
      </c>
      <c r="E179" s="101" t="s">
        <v>1674</v>
      </c>
      <c r="F179" s="102" t="s">
        <v>27</v>
      </c>
      <c r="G179" s="100" t="s">
        <v>544</v>
      </c>
      <c r="H179" t="s">
        <v>1664</v>
      </c>
    </row>
    <row r="180" spans="1:8" ht="58">
      <c r="A180" s="103" t="s">
        <v>1675</v>
      </c>
      <c r="B180" s="103" t="str">
        <f t="shared" si="2"/>
        <v>AA</v>
      </c>
      <c r="C180" s="99">
        <v>1</v>
      </c>
      <c r="D180" s="100" t="s">
        <v>129</v>
      </c>
      <c r="E180" s="101" t="s">
        <v>1676</v>
      </c>
      <c r="F180" s="102" t="s">
        <v>27</v>
      </c>
      <c r="G180" s="100" t="s">
        <v>544</v>
      </c>
      <c r="H180" t="s">
        <v>1677</v>
      </c>
    </row>
    <row r="181" spans="1:8" ht="58">
      <c r="A181" s="103" t="s">
        <v>1675</v>
      </c>
      <c r="B181" s="103" t="str">
        <f t="shared" si="2"/>
        <v>AA</v>
      </c>
      <c r="C181" s="99">
        <v>1</v>
      </c>
      <c r="D181" s="100" t="s">
        <v>227</v>
      </c>
      <c r="E181" s="101" t="s">
        <v>1678</v>
      </c>
      <c r="F181" s="102" t="s">
        <v>27</v>
      </c>
      <c r="G181" s="100" t="s">
        <v>544</v>
      </c>
      <c r="H181" t="s">
        <v>1677</v>
      </c>
    </row>
    <row r="182" spans="1:8" ht="58">
      <c r="A182" s="103" t="s">
        <v>1679</v>
      </c>
      <c r="B182" s="103" t="str">
        <f t="shared" si="2"/>
        <v>AB</v>
      </c>
      <c r="C182" s="99">
        <v>1</v>
      </c>
      <c r="D182" s="100" t="s">
        <v>129</v>
      </c>
      <c r="E182" s="101" t="s">
        <v>1680</v>
      </c>
      <c r="F182" s="102" t="s">
        <v>27</v>
      </c>
      <c r="G182" s="100" t="s">
        <v>544</v>
      </c>
      <c r="H182" t="s">
        <v>1677</v>
      </c>
    </row>
    <row r="183" spans="1:8" ht="58">
      <c r="A183" s="103" t="s">
        <v>1679</v>
      </c>
      <c r="B183" s="103" t="str">
        <f t="shared" si="2"/>
        <v>AB</v>
      </c>
      <c r="C183" s="99">
        <v>1</v>
      </c>
      <c r="D183" s="100" t="s">
        <v>227</v>
      </c>
      <c r="E183" s="101" t="s">
        <v>1681</v>
      </c>
      <c r="F183" s="102" t="s">
        <v>27</v>
      </c>
      <c r="G183" s="100" t="s">
        <v>544</v>
      </c>
      <c r="H183" t="s">
        <v>1677</v>
      </c>
    </row>
    <row r="184" spans="1:8" ht="58">
      <c r="A184" s="103" t="s">
        <v>1682</v>
      </c>
      <c r="B184" s="103" t="str">
        <f t="shared" si="2"/>
        <v>AC</v>
      </c>
      <c r="C184" s="99">
        <v>1</v>
      </c>
      <c r="D184" s="100" t="s">
        <v>129</v>
      </c>
      <c r="E184" s="101" t="s">
        <v>1683</v>
      </c>
      <c r="F184" s="102" t="s">
        <v>27</v>
      </c>
      <c r="G184" s="100" t="s">
        <v>544</v>
      </c>
      <c r="H184" t="s">
        <v>1677</v>
      </c>
    </row>
    <row r="185" spans="1:8" ht="58">
      <c r="A185" s="103" t="s">
        <v>1682</v>
      </c>
      <c r="B185" s="103" t="str">
        <f t="shared" si="2"/>
        <v>AC</v>
      </c>
      <c r="C185" s="99">
        <v>1</v>
      </c>
      <c r="D185" s="100" t="s">
        <v>227</v>
      </c>
      <c r="E185" s="101" t="s">
        <v>1684</v>
      </c>
      <c r="F185" s="102" t="s">
        <v>27</v>
      </c>
      <c r="G185" s="100" t="s">
        <v>544</v>
      </c>
      <c r="H185" t="s">
        <v>1677</v>
      </c>
    </row>
    <row r="186" spans="1:8" ht="58">
      <c r="A186" s="103" t="s">
        <v>1685</v>
      </c>
      <c r="B186" s="103" t="str">
        <f t="shared" si="2"/>
        <v>AD</v>
      </c>
      <c r="C186" s="99">
        <v>1</v>
      </c>
      <c r="D186" s="100" t="s">
        <v>129</v>
      </c>
      <c r="E186" s="101" t="s">
        <v>1686</v>
      </c>
      <c r="F186" s="102" t="s">
        <v>27</v>
      </c>
      <c r="G186" s="100" t="s">
        <v>544</v>
      </c>
      <c r="H186" t="s">
        <v>1677</v>
      </c>
    </row>
    <row r="187" spans="1:8" ht="58">
      <c r="A187" s="103" t="s">
        <v>1685</v>
      </c>
      <c r="B187" s="103" t="str">
        <f t="shared" si="2"/>
        <v>AD</v>
      </c>
      <c r="C187" s="99">
        <v>1</v>
      </c>
      <c r="D187" s="100" t="s">
        <v>227</v>
      </c>
      <c r="E187" s="101" t="s">
        <v>1687</v>
      </c>
      <c r="F187" s="102" t="s">
        <v>27</v>
      </c>
      <c r="G187" s="100" t="s">
        <v>544</v>
      </c>
      <c r="H187" t="s">
        <v>1677</v>
      </c>
    </row>
    <row r="188" spans="1:8" ht="29">
      <c r="A188" s="103" t="s">
        <v>1688</v>
      </c>
      <c r="B188" s="103" t="e">
        <f t="shared" si="2"/>
        <v>#VALUE!</v>
      </c>
      <c r="C188" s="99">
        <v>4</v>
      </c>
      <c r="D188" s="100" t="s">
        <v>18</v>
      </c>
      <c r="E188" s="101" t="s">
        <v>703</v>
      </c>
      <c r="F188" s="102" t="s">
        <v>9</v>
      </c>
      <c r="G188" s="100" t="s">
        <v>353</v>
      </c>
      <c r="H188" t="s">
        <v>1537</v>
      </c>
    </row>
    <row r="189" spans="1:8" ht="43.5">
      <c r="A189" s="103" t="s">
        <v>1689</v>
      </c>
      <c r="B189" s="103" t="str">
        <f t="shared" si="2"/>
        <v>B2</v>
      </c>
      <c r="C189" s="99">
        <v>1</v>
      </c>
      <c r="D189" s="100" t="s">
        <v>1424</v>
      </c>
      <c r="E189" s="101" t="s">
        <v>1690</v>
      </c>
      <c r="F189" s="102" t="s">
        <v>1495</v>
      </c>
      <c r="G189" s="100" t="s">
        <v>12</v>
      </c>
      <c r="H189" t="s">
        <v>1691</v>
      </c>
    </row>
    <row r="190" spans="1:8" ht="43.5">
      <c r="A190" s="103" t="s">
        <v>1689</v>
      </c>
      <c r="B190" s="103" t="str">
        <f t="shared" si="2"/>
        <v>B2</v>
      </c>
      <c r="C190" s="99">
        <v>1</v>
      </c>
      <c r="D190" s="100" t="s">
        <v>1427</v>
      </c>
      <c r="E190" s="101" t="s">
        <v>1692</v>
      </c>
      <c r="F190" s="102" t="s">
        <v>1495</v>
      </c>
      <c r="G190" s="100" t="s">
        <v>12</v>
      </c>
      <c r="H190" t="s">
        <v>1691</v>
      </c>
    </row>
    <row r="191" spans="1:8" ht="43.5">
      <c r="A191" s="103" t="s">
        <v>1689</v>
      </c>
      <c r="B191" s="103" t="str">
        <f t="shared" si="2"/>
        <v>B2</v>
      </c>
      <c r="C191" s="99">
        <v>1</v>
      </c>
      <c r="D191" s="100" t="s">
        <v>1429</v>
      </c>
      <c r="E191" s="101" t="s">
        <v>1693</v>
      </c>
      <c r="F191" s="102" t="s">
        <v>1495</v>
      </c>
      <c r="G191" s="100" t="s">
        <v>12</v>
      </c>
      <c r="H191" t="s">
        <v>1691</v>
      </c>
    </row>
    <row r="192" spans="1:8" ht="43.5">
      <c r="A192" s="103" t="s">
        <v>1689</v>
      </c>
      <c r="B192" s="103" t="str">
        <f t="shared" si="2"/>
        <v>B2</v>
      </c>
      <c r="C192" s="99">
        <v>1</v>
      </c>
      <c r="D192" s="100" t="s">
        <v>1431</v>
      </c>
      <c r="E192" s="101" t="s">
        <v>1694</v>
      </c>
      <c r="F192" s="102" t="s">
        <v>1495</v>
      </c>
      <c r="G192" s="100" t="s">
        <v>12</v>
      </c>
      <c r="H192" t="s">
        <v>1691</v>
      </c>
    </row>
    <row r="193" spans="1:8" ht="43.5">
      <c r="A193" s="103" t="s">
        <v>1689</v>
      </c>
      <c r="B193" s="103" t="str">
        <f t="shared" si="2"/>
        <v>B2</v>
      </c>
      <c r="C193" s="99">
        <v>1</v>
      </c>
      <c r="D193" s="100" t="s">
        <v>1433</v>
      </c>
      <c r="E193" s="101" t="s">
        <v>1695</v>
      </c>
      <c r="F193" s="102" t="s">
        <v>1495</v>
      </c>
      <c r="G193" s="100" t="s">
        <v>12</v>
      </c>
      <c r="H193" t="s">
        <v>1691</v>
      </c>
    </row>
    <row r="194" spans="1:8" ht="43.5">
      <c r="A194" s="103" t="s">
        <v>1689</v>
      </c>
      <c r="B194" s="103" t="str">
        <f t="shared" ref="B194:B257" si="3">DEC2HEX(A194, 2)</f>
        <v>B2</v>
      </c>
      <c r="C194" s="99">
        <v>1</v>
      </c>
      <c r="D194" s="100" t="s">
        <v>1435</v>
      </c>
      <c r="E194" s="101" t="s">
        <v>1696</v>
      </c>
      <c r="F194" s="102" t="s">
        <v>1495</v>
      </c>
      <c r="G194" s="100" t="s">
        <v>12</v>
      </c>
      <c r="H194" t="s">
        <v>1691</v>
      </c>
    </row>
    <row r="195" spans="1:8" ht="43.5">
      <c r="A195" s="103" t="s">
        <v>1689</v>
      </c>
      <c r="B195" s="103" t="str">
        <f t="shared" si="3"/>
        <v>B2</v>
      </c>
      <c r="C195" s="99">
        <v>1</v>
      </c>
      <c r="D195" s="100" t="s">
        <v>1437</v>
      </c>
      <c r="E195" s="101" t="s">
        <v>1697</v>
      </c>
      <c r="F195" s="102" t="s">
        <v>1495</v>
      </c>
      <c r="G195" s="100" t="s">
        <v>12</v>
      </c>
      <c r="H195" t="s">
        <v>1691</v>
      </c>
    </row>
    <row r="196" spans="1:8" ht="43.5">
      <c r="A196" s="103" t="s">
        <v>1689</v>
      </c>
      <c r="B196" s="103" t="str">
        <f t="shared" si="3"/>
        <v>B2</v>
      </c>
      <c r="C196" s="99">
        <v>1</v>
      </c>
      <c r="D196" s="100" t="s">
        <v>1439</v>
      </c>
      <c r="E196" s="101" t="s">
        <v>1698</v>
      </c>
      <c r="F196" s="102" t="s">
        <v>1495</v>
      </c>
      <c r="G196" s="100" t="s">
        <v>12</v>
      </c>
      <c r="H196" t="s">
        <v>1691</v>
      </c>
    </row>
    <row r="197" spans="1:8" ht="58">
      <c r="A197" s="103" t="s">
        <v>1699</v>
      </c>
      <c r="B197" s="103" t="str">
        <f t="shared" si="3"/>
        <v>B3</v>
      </c>
      <c r="C197" s="99">
        <v>1</v>
      </c>
      <c r="D197" s="100" t="s">
        <v>1424</v>
      </c>
      <c r="E197" s="101" t="s">
        <v>1700</v>
      </c>
      <c r="F197" s="102" t="s">
        <v>1551</v>
      </c>
      <c r="G197" s="100" t="s">
        <v>12</v>
      </c>
      <c r="H197" t="s">
        <v>1701</v>
      </c>
    </row>
    <row r="198" spans="1:8" ht="58">
      <c r="A198" s="103" t="s">
        <v>1699</v>
      </c>
      <c r="B198" s="103" t="str">
        <f t="shared" si="3"/>
        <v>B3</v>
      </c>
      <c r="C198" s="99">
        <v>1</v>
      </c>
      <c r="D198" s="100" t="s">
        <v>1427</v>
      </c>
      <c r="E198" s="101" t="s">
        <v>1702</v>
      </c>
      <c r="F198" s="102" t="s">
        <v>1551</v>
      </c>
      <c r="G198" s="100" t="s">
        <v>12</v>
      </c>
      <c r="H198" t="s">
        <v>1701</v>
      </c>
    </row>
    <row r="199" spans="1:8" ht="58">
      <c r="A199" s="103" t="s">
        <v>1699</v>
      </c>
      <c r="B199" s="103" t="str">
        <f t="shared" si="3"/>
        <v>B3</v>
      </c>
      <c r="C199" s="99">
        <v>1</v>
      </c>
      <c r="D199" s="100" t="s">
        <v>1429</v>
      </c>
      <c r="E199" s="101" t="s">
        <v>1703</v>
      </c>
      <c r="F199" s="102" t="s">
        <v>1551</v>
      </c>
      <c r="G199" s="100" t="s">
        <v>12</v>
      </c>
      <c r="H199" t="s">
        <v>1701</v>
      </c>
    </row>
    <row r="200" spans="1:8" ht="58">
      <c r="A200" s="103" t="s">
        <v>1699</v>
      </c>
      <c r="B200" s="103" t="str">
        <f t="shared" si="3"/>
        <v>B3</v>
      </c>
      <c r="C200" s="99">
        <v>1</v>
      </c>
      <c r="D200" s="100" t="s">
        <v>1431</v>
      </c>
      <c r="E200" s="101" t="s">
        <v>1704</v>
      </c>
      <c r="F200" s="102" t="s">
        <v>1551</v>
      </c>
      <c r="G200" s="100" t="s">
        <v>12</v>
      </c>
      <c r="H200" t="s">
        <v>1701</v>
      </c>
    </row>
    <row r="201" spans="1:8" ht="58">
      <c r="A201" s="103" t="s">
        <v>1699</v>
      </c>
      <c r="B201" s="103" t="str">
        <f t="shared" si="3"/>
        <v>B3</v>
      </c>
      <c r="C201" s="99">
        <v>1</v>
      </c>
      <c r="D201" s="100" t="s">
        <v>1433</v>
      </c>
      <c r="E201" s="101" t="s">
        <v>1705</v>
      </c>
      <c r="F201" s="102" t="s">
        <v>1551</v>
      </c>
      <c r="G201" s="100" t="s">
        <v>12</v>
      </c>
      <c r="H201" t="s">
        <v>1701</v>
      </c>
    </row>
    <row r="202" spans="1:8" ht="58">
      <c r="A202" s="103" t="s">
        <v>1699</v>
      </c>
      <c r="B202" s="103" t="str">
        <f t="shared" si="3"/>
        <v>B3</v>
      </c>
      <c r="C202" s="99">
        <v>1</v>
      </c>
      <c r="D202" s="100" t="s">
        <v>1435</v>
      </c>
      <c r="E202" s="101" t="s">
        <v>1706</v>
      </c>
      <c r="F202" s="102" t="s">
        <v>1551</v>
      </c>
      <c r="G202" s="100" t="s">
        <v>12</v>
      </c>
      <c r="H202" t="s">
        <v>1701</v>
      </c>
    </row>
    <row r="203" spans="1:8" ht="58">
      <c r="A203" s="103" t="s">
        <v>1699</v>
      </c>
      <c r="B203" s="103" t="str">
        <f t="shared" si="3"/>
        <v>B3</v>
      </c>
      <c r="C203" s="99">
        <v>1</v>
      </c>
      <c r="D203" s="100" t="s">
        <v>1437</v>
      </c>
      <c r="E203" s="101" t="s">
        <v>1707</v>
      </c>
      <c r="F203" s="102" t="s">
        <v>1551</v>
      </c>
      <c r="G203" s="100" t="s">
        <v>12</v>
      </c>
      <c r="H203" t="s">
        <v>1701</v>
      </c>
    </row>
    <row r="204" spans="1:8" ht="58">
      <c r="A204" s="103" t="s">
        <v>1699</v>
      </c>
      <c r="B204" s="103" t="str">
        <f t="shared" si="3"/>
        <v>B3</v>
      </c>
      <c r="C204" s="99">
        <v>1</v>
      </c>
      <c r="D204" s="100" t="s">
        <v>1439</v>
      </c>
      <c r="E204" s="101" t="s">
        <v>1708</v>
      </c>
      <c r="F204" s="102" t="s">
        <v>1551</v>
      </c>
      <c r="G204" s="100" t="s">
        <v>12</v>
      </c>
      <c r="H204" t="s">
        <v>1701</v>
      </c>
    </row>
    <row r="205" spans="1:8" ht="43.5">
      <c r="A205" s="103" t="s">
        <v>1709</v>
      </c>
      <c r="B205" s="103" t="str">
        <f t="shared" si="3"/>
        <v>B4</v>
      </c>
      <c r="C205" s="99">
        <v>1</v>
      </c>
      <c r="D205" s="100" t="s">
        <v>129</v>
      </c>
      <c r="E205" s="101" t="s">
        <v>1710</v>
      </c>
      <c r="F205" s="102" t="s">
        <v>27</v>
      </c>
      <c r="G205" s="100" t="s">
        <v>1711</v>
      </c>
      <c r="H205" t="s">
        <v>1562</v>
      </c>
    </row>
    <row r="206" spans="1:8" ht="43.5">
      <c r="A206" s="103" t="s">
        <v>1709</v>
      </c>
      <c r="B206" s="103" t="str">
        <f t="shared" si="3"/>
        <v>B4</v>
      </c>
      <c r="C206" s="99">
        <v>1</v>
      </c>
      <c r="D206" s="100" t="s">
        <v>130</v>
      </c>
      <c r="E206" s="101" t="s">
        <v>1712</v>
      </c>
      <c r="F206" s="102" t="s">
        <v>27</v>
      </c>
      <c r="G206" s="100" t="s">
        <v>160</v>
      </c>
      <c r="H206" t="s">
        <v>1564</v>
      </c>
    </row>
    <row r="207" spans="1:8" ht="43.5">
      <c r="A207" s="103" t="s">
        <v>1709</v>
      </c>
      <c r="B207" s="103" t="str">
        <f t="shared" si="3"/>
        <v>B4</v>
      </c>
      <c r="C207" s="99">
        <v>1</v>
      </c>
      <c r="D207" s="100" t="s">
        <v>1439</v>
      </c>
      <c r="E207" s="101" t="s">
        <v>1713</v>
      </c>
      <c r="F207" s="102" t="s">
        <v>27</v>
      </c>
      <c r="G207" s="100" t="s">
        <v>12</v>
      </c>
      <c r="H207" t="s">
        <v>1566</v>
      </c>
    </row>
    <row r="208" spans="1:8" ht="43.5">
      <c r="A208" s="103" t="s">
        <v>1714</v>
      </c>
      <c r="B208" s="103" t="str">
        <f t="shared" si="3"/>
        <v>B5</v>
      </c>
      <c r="C208" s="99">
        <v>1</v>
      </c>
      <c r="D208" s="100" t="s">
        <v>129</v>
      </c>
      <c r="E208" s="101" t="s">
        <v>1715</v>
      </c>
      <c r="F208" s="102" t="s">
        <v>27</v>
      </c>
      <c r="G208" s="100" t="s">
        <v>1711</v>
      </c>
      <c r="H208" t="s">
        <v>1562</v>
      </c>
    </row>
    <row r="209" spans="1:8" ht="43.5">
      <c r="A209" s="103" t="s">
        <v>1714</v>
      </c>
      <c r="B209" s="103" t="str">
        <f t="shared" si="3"/>
        <v>B5</v>
      </c>
      <c r="C209" s="99">
        <v>1</v>
      </c>
      <c r="D209" s="100" t="s">
        <v>130</v>
      </c>
      <c r="E209" s="101" t="s">
        <v>1716</v>
      </c>
      <c r="F209" s="102" t="s">
        <v>27</v>
      </c>
      <c r="G209" s="100" t="s">
        <v>160</v>
      </c>
      <c r="H209" t="s">
        <v>1564</v>
      </c>
    </row>
    <row r="210" spans="1:8" ht="43.5">
      <c r="A210" s="103" t="s">
        <v>1714</v>
      </c>
      <c r="B210" s="103" t="str">
        <f t="shared" si="3"/>
        <v>B5</v>
      </c>
      <c r="C210" s="99">
        <v>1</v>
      </c>
      <c r="D210" s="100" t="s">
        <v>1439</v>
      </c>
      <c r="E210" s="101" t="s">
        <v>1717</v>
      </c>
      <c r="F210" s="102" t="s">
        <v>27</v>
      </c>
      <c r="G210" s="100" t="s">
        <v>12</v>
      </c>
      <c r="H210" t="s">
        <v>1566</v>
      </c>
    </row>
    <row r="211" spans="1:8" ht="43.5">
      <c r="A211" s="103" t="s">
        <v>1718</v>
      </c>
      <c r="B211" s="103" t="str">
        <f t="shared" si="3"/>
        <v>B6</v>
      </c>
      <c r="C211" s="99">
        <v>1</v>
      </c>
      <c r="D211" s="100" t="s">
        <v>129</v>
      </c>
      <c r="E211" s="101" t="s">
        <v>1719</v>
      </c>
      <c r="F211" s="102" t="s">
        <v>27</v>
      </c>
      <c r="G211" s="100" t="s">
        <v>1711</v>
      </c>
      <c r="H211" t="s">
        <v>1562</v>
      </c>
    </row>
    <row r="212" spans="1:8" ht="43.5">
      <c r="A212" s="103" t="s">
        <v>1718</v>
      </c>
      <c r="B212" s="103" t="str">
        <f t="shared" si="3"/>
        <v>B6</v>
      </c>
      <c r="C212" s="99">
        <v>1</v>
      </c>
      <c r="D212" s="100" t="s">
        <v>130</v>
      </c>
      <c r="E212" s="101" t="s">
        <v>1720</v>
      </c>
      <c r="F212" s="102" t="s">
        <v>27</v>
      </c>
      <c r="G212" s="100" t="s">
        <v>160</v>
      </c>
      <c r="H212" t="s">
        <v>1564</v>
      </c>
    </row>
    <row r="213" spans="1:8" ht="43.5">
      <c r="A213" s="103" t="s">
        <v>1718</v>
      </c>
      <c r="B213" s="103" t="str">
        <f t="shared" si="3"/>
        <v>B6</v>
      </c>
      <c r="C213" s="99">
        <v>1</v>
      </c>
      <c r="D213" s="100" t="s">
        <v>1439</v>
      </c>
      <c r="E213" s="101" t="s">
        <v>1721</v>
      </c>
      <c r="F213" s="102" t="s">
        <v>27</v>
      </c>
      <c r="G213" s="100" t="s">
        <v>12</v>
      </c>
      <c r="H213" t="s">
        <v>1566</v>
      </c>
    </row>
    <row r="214" spans="1:8" ht="43.5">
      <c r="A214" s="103" t="s">
        <v>1722</v>
      </c>
      <c r="B214" s="103" t="str">
        <f t="shared" si="3"/>
        <v>B7</v>
      </c>
      <c r="C214" s="99">
        <v>1</v>
      </c>
      <c r="D214" s="100" t="s">
        <v>129</v>
      </c>
      <c r="E214" s="101" t="s">
        <v>1723</v>
      </c>
      <c r="F214" s="102" t="s">
        <v>27</v>
      </c>
      <c r="G214" s="100" t="s">
        <v>1711</v>
      </c>
      <c r="H214" t="s">
        <v>1562</v>
      </c>
    </row>
    <row r="215" spans="1:8" ht="43.5">
      <c r="A215" s="103" t="s">
        <v>1722</v>
      </c>
      <c r="B215" s="103" t="str">
        <f t="shared" si="3"/>
        <v>B7</v>
      </c>
      <c r="C215" s="99">
        <v>1</v>
      </c>
      <c r="D215" s="100" t="s">
        <v>130</v>
      </c>
      <c r="E215" s="101" t="s">
        <v>1724</v>
      </c>
      <c r="F215" s="102" t="s">
        <v>27</v>
      </c>
      <c r="G215" s="100" t="s">
        <v>160</v>
      </c>
      <c r="H215" t="s">
        <v>1564</v>
      </c>
    </row>
    <row r="216" spans="1:8" ht="43.5">
      <c r="A216" s="103" t="s">
        <v>1722</v>
      </c>
      <c r="B216" s="103" t="str">
        <f t="shared" si="3"/>
        <v>B7</v>
      </c>
      <c r="C216" s="99">
        <v>1</v>
      </c>
      <c r="D216" s="100" t="s">
        <v>1439</v>
      </c>
      <c r="E216" s="101" t="s">
        <v>1725</v>
      </c>
      <c r="F216" s="102" t="s">
        <v>27</v>
      </c>
      <c r="G216" s="100" t="s">
        <v>12</v>
      </c>
      <c r="H216" t="s">
        <v>1566</v>
      </c>
    </row>
    <row r="217" spans="1:8" ht="43.5">
      <c r="A217" s="103" t="s">
        <v>1726</v>
      </c>
      <c r="B217" s="103" t="str">
        <f t="shared" si="3"/>
        <v>B8</v>
      </c>
      <c r="C217" s="99">
        <v>1</v>
      </c>
      <c r="D217" s="100" t="s">
        <v>129</v>
      </c>
      <c r="E217" s="101" t="s">
        <v>1727</v>
      </c>
      <c r="F217" s="102" t="s">
        <v>27</v>
      </c>
      <c r="G217" s="100" t="s">
        <v>1711</v>
      </c>
      <c r="H217" t="s">
        <v>1562</v>
      </c>
    </row>
    <row r="218" spans="1:8" ht="43.5">
      <c r="A218" s="103" t="s">
        <v>1726</v>
      </c>
      <c r="B218" s="103" t="str">
        <f t="shared" si="3"/>
        <v>B8</v>
      </c>
      <c r="C218" s="99">
        <v>1</v>
      </c>
      <c r="D218" s="100" t="s">
        <v>130</v>
      </c>
      <c r="E218" s="101" t="s">
        <v>1728</v>
      </c>
      <c r="F218" s="102" t="s">
        <v>27</v>
      </c>
      <c r="G218" s="100" t="s">
        <v>1729</v>
      </c>
      <c r="H218" t="s">
        <v>1564</v>
      </c>
    </row>
    <row r="219" spans="1:8" ht="43.5">
      <c r="A219" s="103" t="s">
        <v>1726</v>
      </c>
      <c r="B219" s="103" t="str">
        <f t="shared" si="3"/>
        <v>B8</v>
      </c>
      <c r="C219" s="99">
        <v>1</v>
      </c>
      <c r="D219" s="100" t="s">
        <v>1439</v>
      </c>
      <c r="E219" s="101" t="s">
        <v>1730</v>
      </c>
      <c r="F219" s="102" t="s">
        <v>27</v>
      </c>
      <c r="G219" s="100" t="s">
        <v>12</v>
      </c>
      <c r="H219" t="s">
        <v>1566</v>
      </c>
    </row>
    <row r="220" spans="1:8" ht="43.5">
      <c r="A220" s="103" t="s">
        <v>1731</v>
      </c>
      <c r="B220" s="103" t="str">
        <f t="shared" si="3"/>
        <v>B9</v>
      </c>
      <c r="C220" s="99">
        <v>1</v>
      </c>
      <c r="D220" s="100" t="s">
        <v>129</v>
      </c>
      <c r="E220" s="101" t="s">
        <v>1732</v>
      </c>
      <c r="F220" s="102" t="s">
        <v>27</v>
      </c>
      <c r="G220" s="100" t="s">
        <v>1711</v>
      </c>
      <c r="H220" t="s">
        <v>1562</v>
      </c>
    </row>
    <row r="221" spans="1:8" ht="43.5">
      <c r="A221" s="103" t="s">
        <v>1731</v>
      </c>
      <c r="B221" s="103" t="str">
        <f t="shared" si="3"/>
        <v>B9</v>
      </c>
      <c r="C221" s="99">
        <v>1</v>
      </c>
      <c r="D221" s="100" t="s">
        <v>130</v>
      </c>
      <c r="E221" s="101" t="s">
        <v>1733</v>
      </c>
      <c r="F221" s="102" t="s">
        <v>27</v>
      </c>
      <c r="G221" s="100" t="s">
        <v>1729</v>
      </c>
      <c r="H221" t="s">
        <v>1564</v>
      </c>
    </row>
    <row r="222" spans="1:8" ht="43.5">
      <c r="A222" s="103" t="s">
        <v>1731</v>
      </c>
      <c r="B222" s="103" t="str">
        <f t="shared" si="3"/>
        <v>B9</v>
      </c>
      <c r="C222" s="99">
        <v>1</v>
      </c>
      <c r="D222" s="100" t="s">
        <v>1439</v>
      </c>
      <c r="E222" s="101" t="s">
        <v>1734</v>
      </c>
      <c r="F222" s="102" t="s">
        <v>27</v>
      </c>
      <c r="G222" s="100" t="s">
        <v>12</v>
      </c>
      <c r="H222" t="s">
        <v>1566</v>
      </c>
    </row>
    <row r="223" spans="1:8" ht="43.5">
      <c r="A223" s="103" t="s">
        <v>1735</v>
      </c>
      <c r="B223" s="103" t="str">
        <f t="shared" si="3"/>
        <v>BA</v>
      </c>
      <c r="C223" s="99">
        <v>1</v>
      </c>
      <c r="D223" s="100" t="s">
        <v>129</v>
      </c>
      <c r="E223" s="101" t="s">
        <v>1736</v>
      </c>
      <c r="F223" s="102" t="s">
        <v>27</v>
      </c>
      <c r="G223" s="100" t="s">
        <v>1711</v>
      </c>
      <c r="H223" t="s">
        <v>1562</v>
      </c>
    </row>
    <row r="224" spans="1:8" ht="43.5">
      <c r="A224" s="103" t="s">
        <v>1735</v>
      </c>
      <c r="B224" s="103" t="str">
        <f t="shared" si="3"/>
        <v>BA</v>
      </c>
      <c r="C224" s="99">
        <v>1</v>
      </c>
      <c r="D224" s="100" t="s">
        <v>130</v>
      </c>
      <c r="E224" s="101" t="s">
        <v>1737</v>
      </c>
      <c r="F224" s="102" t="s">
        <v>27</v>
      </c>
      <c r="G224" s="100" t="s">
        <v>1729</v>
      </c>
      <c r="H224" t="s">
        <v>1564</v>
      </c>
    </row>
    <row r="225" spans="1:8" ht="43.5">
      <c r="A225" s="103" t="s">
        <v>1735</v>
      </c>
      <c r="B225" s="103" t="str">
        <f t="shared" si="3"/>
        <v>BA</v>
      </c>
      <c r="C225" s="99">
        <v>1</v>
      </c>
      <c r="D225" s="100" t="s">
        <v>1439</v>
      </c>
      <c r="E225" s="101" t="s">
        <v>1738</v>
      </c>
      <c r="F225" s="102" t="s">
        <v>27</v>
      </c>
      <c r="G225" s="100" t="s">
        <v>12</v>
      </c>
      <c r="H225" t="s">
        <v>1566</v>
      </c>
    </row>
    <row r="226" spans="1:8" ht="43.5">
      <c r="A226" s="103" t="s">
        <v>1739</v>
      </c>
      <c r="B226" s="103" t="str">
        <f t="shared" si="3"/>
        <v>BB</v>
      </c>
      <c r="C226" s="99">
        <v>1</v>
      </c>
      <c r="D226" s="100" t="s">
        <v>129</v>
      </c>
      <c r="E226" s="101" t="s">
        <v>1740</v>
      </c>
      <c r="F226" s="102" t="s">
        <v>27</v>
      </c>
      <c r="G226" s="100" t="s">
        <v>1711</v>
      </c>
      <c r="H226" t="s">
        <v>1562</v>
      </c>
    </row>
    <row r="227" spans="1:8" ht="43.5">
      <c r="A227" s="103" t="s">
        <v>1739</v>
      </c>
      <c r="B227" s="103" t="str">
        <f t="shared" si="3"/>
        <v>BB</v>
      </c>
      <c r="C227" s="99">
        <v>1</v>
      </c>
      <c r="D227" s="100" t="s">
        <v>130</v>
      </c>
      <c r="E227" s="101" t="s">
        <v>1741</v>
      </c>
      <c r="F227" s="102" t="s">
        <v>27</v>
      </c>
      <c r="G227" s="100" t="s">
        <v>1729</v>
      </c>
      <c r="H227" t="s">
        <v>1564</v>
      </c>
    </row>
    <row r="228" spans="1:8" ht="43.5">
      <c r="A228" s="103" t="s">
        <v>1739</v>
      </c>
      <c r="B228" s="103" t="str">
        <f t="shared" si="3"/>
        <v>BB</v>
      </c>
      <c r="C228" s="99">
        <v>1</v>
      </c>
      <c r="D228" s="100" t="s">
        <v>1439</v>
      </c>
      <c r="E228" s="101" t="s">
        <v>1742</v>
      </c>
      <c r="F228" s="102" t="s">
        <v>27</v>
      </c>
      <c r="G228" s="100" t="s">
        <v>12</v>
      </c>
      <c r="H228" t="s">
        <v>1566</v>
      </c>
    </row>
    <row r="229" spans="1:8" ht="58">
      <c r="A229" s="103" t="s">
        <v>1743</v>
      </c>
      <c r="B229" s="103" t="str">
        <f t="shared" si="3"/>
        <v>BC</v>
      </c>
      <c r="C229" s="99">
        <v>1</v>
      </c>
      <c r="D229" s="100" t="s">
        <v>1424</v>
      </c>
      <c r="E229" s="101" t="s">
        <v>1744</v>
      </c>
      <c r="F229" s="102" t="s">
        <v>27</v>
      </c>
      <c r="G229" s="100" t="s">
        <v>12</v>
      </c>
      <c r="H229" t="s">
        <v>1745</v>
      </c>
    </row>
    <row r="230" spans="1:8" ht="58">
      <c r="A230" s="103" t="s">
        <v>1743</v>
      </c>
      <c r="B230" s="103" t="str">
        <f t="shared" si="3"/>
        <v>BC</v>
      </c>
      <c r="C230" s="99">
        <v>1</v>
      </c>
      <c r="D230" s="100" t="s">
        <v>1427</v>
      </c>
      <c r="E230" s="101" t="s">
        <v>1746</v>
      </c>
      <c r="F230" s="102" t="s">
        <v>27</v>
      </c>
      <c r="G230" s="100" t="s">
        <v>12</v>
      </c>
      <c r="H230" t="s">
        <v>1745</v>
      </c>
    </row>
    <row r="231" spans="1:8" ht="58">
      <c r="A231" s="103" t="s">
        <v>1743</v>
      </c>
      <c r="B231" s="103" t="str">
        <f t="shared" si="3"/>
        <v>BC</v>
      </c>
      <c r="C231" s="99">
        <v>1</v>
      </c>
      <c r="D231" s="100" t="s">
        <v>1429</v>
      </c>
      <c r="E231" s="101" t="s">
        <v>1747</v>
      </c>
      <c r="F231" s="102" t="s">
        <v>27</v>
      </c>
      <c r="G231" s="100" t="s">
        <v>12</v>
      </c>
      <c r="H231" t="s">
        <v>1745</v>
      </c>
    </row>
    <row r="232" spans="1:8" ht="58">
      <c r="A232" s="103" t="s">
        <v>1743</v>
      </c>
      <c r="B232" s="103" t="str">
        <f t="shared" si="3"/>
        <v>BC</v>
      </c>
      <c r="C232" s="99">
        <v>1</v>
      </c>
      <c r="D232" s="100" t="s">
        <v>1431</v>
      </c>
      <c r="E232" s="101" t="s">
        <v>1748</v>
      </c>
      <c r="F232" s="102" t="s">
        <v>27</v>
      </c>
      <c r="G232" s="100" t="s">
        <v>12</v>
      </c>
      <c r="H232" t="s">
        <v>1745</v>
      </c>
    </row>
    <row r="233" spans="1:8" ht="58">
      <c r="A233" s="103" t="s">
        <v>1743</v>
      </c>
      <c r="B233" s="103" t="str">
        <f t="shared" si="3"/>
        <v>BC</v>
      </c>
      <c r="C233" s="99">
        <v>1</v>
      </c>
      <c r="D233" s="100" t="s">
        <v>1433</v>
      </c>
      <c r="E233" s="101" t="s">
        <v>1749</v>
      </c>
      <c r="F233" s="102" t="s">
        <v>27</v>
      </c>
      <c r="G233" s="100" t="s">
        <v>12</v>
      </c>
      <c r="H233" t="s">
        <v>1745</v>
      </c>
    </row>
    <row r="234" spans="1:8" ht="58">
      <c r="A234" s="103" t="s">
        <v>1743</v>
      </c>
      <c r="B234" s="103" t="str">
        <f t="shared" si="3"/>
        <v>BC</v>
      </c>
      <c r="C234" s="99">
        <v>1</v>
      </c>
      <c r="D234" s="100" t="s">
        <v>1435</v>
      </c>
      <c r="E234" s="101" t="s">
        <v>1750</v>
      </c>
      <c r="F234" s="102" t="s">
        <v>27</v>
      </c>
      <c r="G234" s="100" t="s">
        <v>12</v>
      </c>
      <c r="H234" t="s">
        <v>1745</v>
      </c>
    </row>
    <row r="235" spans="1:8" ht="58">
      <c r="A235" s="103" t="s">
        <v>1743</v>
      </c>
      <c r="B235" s="103" t="str">
        <f t="shared" si="3"/>
        <v>BC</v>
      </c>
      <c r="C235" s="99">
        <v>1</v>
      </c>
      <c r="D235" s="100" t="s">
        <v>1437</v>
      </c>
      <c r="E235" s="101" t="s">
        <v>1751</v>
      </c>
      <c r="F235" s="102" t="s">
        <v>27</v>
      </c>
      <c r="G235" s="100" t="s">
        <v>12</v>
      </c>
      <c r="H235" t="s">
        <v>1745</v>
      </c>
    </row>
    <row r="236" spans="1:8" ht="58">
      <c r="A236" s="103" t="s">
        <v>1743</v>
      </c>
      <c r="B236" s="103" t="str">
        <f t="shared" si="3"/>
        <v>BC</v>
      </c>
      <c r="C236" s="99">
        <v>1</v>
      </c>
      <c r="D236" s="100" t="s">
        <v>1439</v>
      </c>
      <c r="E236" s="101" t="s">
        <v>1752</v>
      </c>
      <c r="F236" s="102" t="s">
        <v>27</v>
      </c>
      <c r="G236" s="100" t="s">
        <v>12</v>
      </c>
      <c r="H236" t="s">
        <v>1745</v>
      </c>
    </row>
    <row r="237" spans="1:8" ht="58">
      <c r="A237" s="103" t="s">
        <v>1753</v>
      </c>
      <c r="B237" s="103" t="str">
        <f t="shared" si="3"/>
        <v>BD</v>
      </c>
      <c r="C237" s="99">
        <v>1</v>
      </c>
      <c r="D237" s="100" t="s">
        <v>399</v>
      </c>
      <c r="E237" s="101" t="s">
        <v>1754</v>
      </c>
      <c r="F237" s="102" t="s">
        <v>27</v>
      </c>
      <c r="G237" s="100" t="s">
        <v>32</v>
      </c>
      <c r="H237" t="s">
        <v>1755</v>
      </c>
    </row>
    <row r="238" spans="1:8" ht="58">
      <c r="A238" s="103" t="s">
        <v>1753</v>
      </c>
      <c r="B238" s="103" t="str">
        <f t="shared" si="3"/>
        <v>BD</v>
      </c>
      <c r="C238" s="99">
        <v>1</v>
      </c>
      <c r="D238" s="100" t="s">
        <v>552</v>
      </c>
      <c r="E238" s="101" t="s">
        <v>1756</v>
      </c>
      <c r="F238" s="102" t="s">
        <v>27</v>
      </c>
      <c r="G238" s="100" t="s">
        <v>32</v>
      </c>
      <c r="H238" t="s">
        <v>1755</v>
      </c>
    </row>
    <row r="239" spans="1:8" ht="58">
      <c r="A239" s="103" t="s">
        <v>1753</v>
      </c>
      <c r="B239" s="103" t="str">
        <f t="shared" si="3"/>
        <v>BD</v>
      </c>
      <c r="C239" s="99">
        <v>1</v>
      </c>
      <c r="D239" s="100" t="s">
        <v>698</v>
      </c>
      <c r="E239" s="101" t="s">
        <v>1757</v>
      </c>
      <c r="F239" s="102" t="s">
        <v>27</v>
      </c>
      <c r="G239" s="100" t="s">
        <v>32</v>
      </c>
      <c r="H239" t="s">
        <v>1755</v>
      </c>
    </row>
    <row r="240" spans="1:8" ht="58">
      <c r="A240" s="103" t="s">
        <v>1753</v>
      </c>
      <c r="B240" s="103" t="str">
        <f t="shared" si="3"/>
        <v>BD</v>
      </c>
      <c r="C240" s="99">
        <v>1</v>
      </c>
      <c r="D240" s="100" t="s">
        <v>13</v>
      </c>
      <c r="E240" s="101" t="s">
        <v>1758</v>
      </c>
      <c r="F240" s="102" t="s">
        <v>27</v>
      </c>
      <c r="G240" s="100" t="s">
        <v>32</v>
      </c>
      <c r="H240" t="s">
        <v>1755</v>
      </c>
    </row>
    <row r="241" spans="1:8" ht="58">
      <c r="A241" s="103" t="s">
        <v>1759</v>
      </c>
      <c r="B241" s="103" t="str">
        <f t="shared" si="3"/>
        <v>BE</v>
      </c>
      <c r="C241" s="99">
        <v>1</v>
      </c>
      <c r="D241" s="100" t="s">
        <v>399</v>
      </c>
      <c r="E241" s="101" t="s">
        <v>1760</v>
      </c>
      <c r="F241" s="102" t="s">
        <v>27</v>
      </c>
      <c r="G241" s="100" t="s">
        <v>32</v>
      </c>
      <c r="H241" t="s">
        <v>1755</v>
      </c>
    </row>
    <row r="242" spans="1:8" ht="58">
      <c r="A242" s="103" t="s">
        <v>1759</v>
      </c>
      <c r="B242" s="103" t="str">
        <f t="shared" si="3"/>
        <v>BE</v>
      </c>
      <c r="C242" s="99">
        <v>1</v>
      </c>
      <c r="D242" s="100" t="s">
        <v>552</v>
      </c>
      <c r="E242" s="101" t="s">
        <v>1761</v>
      </c>
      <c r="F242" s="102" t="s">
        <v>27</v>
      </c>
      <c r="G242" s="100" t="s">
        <v>32</v>
      </c>
      <c r="H242" t="s">
        <v>1755</v>
      </c>
    </row>
    <row r="243" spans="1:8" ht="58">
      <c r="A243" s="103" t="s">
        <v>1759</v>
      </c>
      <c r="B243" s="103" t="str">
        <f t="shared" si="3"/>
        <v>BE</v>
      </c>
      <c r="C243" s="99">
        <v>1</v>
      </c>
      <c r="D243" s="100" t="s">
        <v>698</v>
      </c>
      <c r="E243" s="101" t="s">
        <v>1762</v>
      </c>
      <c r="F243" s="102" t="s">
        <v>27</v>
      </c>
      <c r="G243" s="100" t="s">
        <v>32</v>
      </c>
      <c r="H243" t="s">
        <v>1755</v>
      </c>
    </row>
    <row r="244" spans="1:8" ht="58">
      <c r="A244" s="103" t="s">
        <v>1759</v>
      </c>
      <c r="B244" s="103" t="str">
        <f t="shared" si="3"/>
        <v>BE</v>
      </c>
      <c r="C244" s="99">
        <v>1</v>
      </c>
      <c r="D244" s="100" t="s">
        <v>13</v>
      </c>
      <c r="E244" s="101" t="s">
        <v>1763</v>
      </c>
      <c r="F244" s="102" t="s">
        <v>27</v>
      </c>
      <c r="G244" s="100" t="s">
        <v>32</v>
      </c>
      <c r="H244" t="s">
        <v>1755</v>
      </c>
    </row>
    <row r="245" spans="1:8" ht="58">
      <c r="A245" s="103" t="s">
        <v>1764</v>
      </c>
      <c r="B245" s="103" t="str">
        <f t="shared" si="3"/>
        <v>BF</v>
      </c>
      <c r="C245" s="99">
        <v>1</v>
      </c>
      <c r="D245" s="100" t="s">
        <v>129</v>
      </c>
      <c r="E245" s="101" t="s">
        <v>1765</v>
      </c>
      <c r="F245" s="102" t="s">
        <v>27</v>
      </c>
      <c r="G245" s="100" t="s">
        <v>30</v>
      </c>
      <c r="H245" t="s">
        <v>1766</v>
      </c>
    </row>
    <row r="246" spans="1:8" ht="58">
      <c r="A246" s="103" t="s">
        <v>1764</v>
      </c>
      <c r="B246" s="103" t="str">
        <f t="shared" si="3"/>
        <v>BF</v>
      </c>
      <c r="C246" s="99">
        <v>1</v>
      </c>
      <c r="D246" s="100" t="s">
        <v>227</v>
      </c>
      <c r="E246" s="101" t="s">
        <v>1767</v>
      </c>
      <c r="F246" s="102" t="s">
        <v>27</v>
      </c>
      <c r="G246" s="100" t="s">
        <v>30</v>
      </c>
      <c r="H246" t="s">
        <v>1766</v>
      </c>
    </row>
    <row r="247" spans="1:8" ht="58">
      <c r="A247" s="103" t="s">
        <v>1768</v>
      </c>
      <c r="B247" s="103" t="str">
        <f t="shared" si="3"/>
        <v>C0</v>
      </c>
      <c r="C247" s="99">
        <v>1</v>
      </c>
      <c r="D247" s="100" t="s">
        <v>129</v>
      </c>
      <c r="E247" s="101" t="s">
        <v>1769</v>
      </c>
      <c r="F247" s="102" t="s">
        <v>27</v>
      </c>
      <c r="G247" s="100" t="s">
        <v>30</v>
      </c>
      <c r="H247" t="s">
        <v>1766</v>
      </c>
    </row>
    <row r="248" spans="1:8" ht="58">
      <c r="A248" s="103" t="s">
        <v>1768</v>
      </c>
      <c r="B248" s="103" t="str">
        <f t="shared" si="3"/>
        <v>C0</v>
      </c>
      <c r="C248" s="99">
        <v>1</v>
      </c>
      <c r="D248" s="100" t="s">
        <v>227</v>
      </c>
      <c r="E248" s="101" t="s">
        <v>1770</v>
      </c>
      <c r="F248" s="102" t="s">
        <v>27</v>
      </c>
      <c r="G248" s="100" t="s">
        <v>30</v>
      </c>
      <c r="H248" t="s">
        <v>1766</v>
      </c>
    </row>
    <row r="249" spans="1:8" ht="58">
      <c r="A249" s="103" t="s">
        <v>1771</v>
      </c>
      <c r="B249" s="103" t="str">
        <f t="shared" si="3"/>
        <v>C1</v>
      </c>
      <c r="C249" s="99">
        <v>1</v>
      </c>
      <c r="D249" s="100" t="s">
        <v>129</v>
      </c>
      <c r="E249" s="101" t="s">
        <v>1772</v>
      </c>
      <c r="F249" s="102" t="s">
        <v>27</v>
      </c>
      <c r="G249" s="100" t="s">
        <v>30</v>
      </c>
      <c r="H249" t="s">
        <v>1766</v>
      </c>
    </row>
    <row r="250" spans="1:8" ht="58">
      <c r="A250" s="103" t="s">
        <v>1771</v>
      </c>
      <c r="B250" s="103" t="str">
        <f t="shared" si="3"/>
        <v>C1</v>
      </c>
      <c r="C250" s="99">
        <v>1</v>
      </c>
      <c r="D250" s="100" t="s">
        <v>227</v>
      </c>
      <c r="E250" s="101" t="s">
        <v>1773</v>
      </c>
      <c r="F250" s="102" t="s">
        <v>27</v>
      </c>
      <c r="G250" s="100" t="s">
        <v>30</v>
      </c>
      <c r="H250" t="s">
        <v>1766</v>
      </c>
    </row>
    <row r="251" spans="1:8" ht="58">
      <c r="A251" s="103" t="s">
        <v>1774</v>
      </c>
      <c r="B251" s="103" t="str">
        <f t="shared" si="3"/>
        <v>C2</v>
      </c>
      <c r="C251" s="99">
        <v>1</v>
      </c>
      <c r="D251" s="100" t="s">
        <v>129</v>
      </c>
      <c r="E251" s="101" t="s">
        <v>1775</v>
      </c>
      <c r="F251" s="102" t="s">
        <v>27</v>
      </c>
      <c r="G251" s="100" t="s">
        <v>30</v>
      </c>
      <c r="H251" t="s">
        <v>1766</v>
      </c>
    </row>
    <row r="252" spans="1:8" ht="58">
      <c r="A252" s="103" t="s">
        <v>1774</v>
      </c>
      <c r="B252" s="103" t="str">
        <f t="shared" si="3"/>
        <v>C2</v>
      </c>
      <c r="C252" s="99">
        <v>1</v>
      </c>
      <c r="D252" s="100" t="s">
        <v>227</v>
      </c>
      <c r="E252" s="101" t="s">
        <v>1776</v>
      </c>
      <c r="F252" s="102" t="s">
        <v>27</v>
      </c>
      <c r="G252" s="100" t="s">
        <v>30</v>
      </c>
      <c r="H252" t="s">
        <v>1766</v>
      </c>
    </row>
    <row r="253" spans="1:8" ht="43.5">
      <c r="A253" s="103" t="s">
        <v>1777</v>
      </c>
      <c r="B253" s="103" t="str">
        <f t="shared" si="3"/>
        <v>C3</v>
      </c>
      <c r="C253" s="99">
        <v>1</v>
      </c>
      <c r="D253" s="100" t="s">
        <v>1424</v>
      </c>
      <c r="E253" s="101" t="s">
        <v>1778</v>
      </c>
      <c r="F253" s="102" t="s">
        <v>27</v>
      </c>
      <c r="G253" s="100" t="s">
        <v>12</v>
      </c>
      <c r="H253" t="s">
        <v>1779</v>
      </c>
    </row>
    <row r="254" spans="1:8" ht="43.5">
      <c r="A254" s="103" t="s">
        <v>1777</v>
      </c>
      <c r="B254" s="103" t="str">
        <f t="shared" si="3"/>
        <v>C3</v>
      </c>
      <c r="C254" s="99">
        <v>1</v>
      </c>
      <c r="D254" s="100" t="s">
        <v>1427</v>
      </c>
      <c r="E254" s="101" t="s">
        <v>1780</v>
      </c>
      <c r="F254" s="102" t="s">
        <v>27</v>
      </c>
      <c r="G254" s="100" t="s">
        <v>12</v>
      </c>
      <c r="H254" t="s">
        <v>1779</v>
      </c>
    </row>
    <row r="255" spans="1:8" ht="43.5">
      <c r="A255" s="103" t="s">
        <v>1777</v>
      </c>
      <c r="B255" s="103" t="str">
        <f t="shared" si="3"/>
        <v>C3</v>
      </c>
      <c r="C255" s="99">
        <v>1</v>
      </c>
      <c r="D255" s="100" t="s">
        <v>1429</v>
      </c>
      <c r="E255" s="101" t="s">
        <v>1781</v>
      </c>
      <c r="F255" s="102" t="s">
        <v>27</v>
      </c>
      <c r="G255" s="100" t="s">
        <v>12</v>
      </c>
      <c r="H255" t="s">
        <v>1779</v>
      </c>
    </row>
    <row r="256" spans="1:8" ht="43.5">
      <c r="A256" s="103" t="s">
        <v>1777</v>
      </c>
      <c r="B256" s="103" t="str">
        <f t="shared" si="3"/>
        <v>C3</v>
      </c>
      <c r="C256" s="99">
        <v>1</v>
      </c>
      <c r="D256" s="100" t="s">
        <v>1431</v>
      </c>
      <c r="E256" s="101" t="s">
        <v>1782</v>
      </c>
      <c r="F256" s="102" t="s">
        <v>27</v>
      </c>
      <c r="G256" s="100" t="s">
        <v>12</v>
      </c>
      <c r="H256" t="s">
        <v>1779</v>
      </c>
    </row>
    <row r="257" spans="1:8" ht="43.5">
      <c r="A257" s="103" t="s">
        <v>1777</v>
      </c>
      <c r="B257" s="103" t="str">
        <f t="shared" si="3"/>
        <v>C3</v>
      </c>
      <c r="C257" s="99">
        <v>1</v>
      </c>
      <c r="D257" s="100" t="s">
        <v>1433</v>
      </c>
      <c r="E257" s="101" t="s">
        <v>1783</v>
      </c>
      <c r="F257" s="102" t="s">
        <v>27</v>
      </c>
      <c r="G257" s="100" t="s">
        <v>12</v>
      </c>
      <c r="H257" t="s">
        <v>1779</v>
      </c>
    </row>
    <row r="258" spans="1:8" ht="43.5">
      <c r="A258" s="103" t="s">
        <v>1777</v>
      </c>
      <c r="B258" s="103" t="str">
        <f t="shared" ref="B258:B321" si="4">DEC2HEX(A258, 2)</f>
        <v>C3</v>
      </c>
      <c r="C258" s="99">
        <v>1</v>
      </c>
      <c r="D258" s="100" t="s">
        <v>1435</v>
      </c>
      <c r="E258" s="101" t="s">
        <v>1784</v>
      </c>
      <c r="F258" s="102" t="s">
        <v>27</v>
      </c>
      <c r="G258" s="100" t="s">
        <v>12</v>
      </c>
      <c r="H258" t="s">
        <v>1779</v>
      </c>
    </row>
    <row r="259" spans="1:8" ht="43.5">
      <c r="A259" s="103" t="s">
        <v>1777</v>
      </c>
      <c r="B259" s="103" t="str">
        <f t="shared" si="4"/>
        <v>C3</v>
      </c>
      <c r="C259" s="99">
        <v>1</v>
      </c>
      <c r="D259" s="100" t="s">
        <v>1437</v>
      </c>
      <c r="E259" s="101" t="s">
        <v>1785</v>
      </c>
      <c r="F259" s="102" t="s">
        <v>27</v>
      </c>
      <c r="G259" s="100" t="s">
        <v>12</v>
      </c>
      <c r="H259" t="s">
        <v>1779</v>
      </c>
    </row>
    <row r="260" spans="1:8" ht="43.5">
      <c r="A260" s="103" t="s">
        <v>1777</v>
      </c>
      <c r="B260" s="103" t="str">
        <f t="shared" si="4"/>
        <v>C3</v>
      </c>
      <c r="C260" s="99">
        <v>1</v>
      </c>
      <c r="D260" s="100" t="s">
        <v>1439</v>
      </c>
      <c r="E260" s="101" t="s">
        <v>1786</v>
      </c>
      <c r="F260" s="102" t="s">
        <v>27</v>
      </c>
      <c r="G260" s="100" t="s">
        <v>12</v>
      </c>
      <c r="H260" t="s">
        <v>1779</v>
      </c>
    </row>
    <row r="261" spans="1:8" ht="43.5">
      <c r="A261" s="103" t="s">
        <v>1787</v>
      </c>
      <c r="B261" s="103" t="str">
        <f t="shared" si="4"/>
        <v>C4</v>
      </c>
      <c r="C261" s="99">
        <v>1</v>
      </c>
      <c r="D261" s="100" t="s">
        <v>1424</v>
      </c>
      <c r="E261" s="101" t="s">
        <v>1788</v>
      </c>
      <c r="F261" s="102" t="s">
        <v>27</v>
      </c>
      <c r="G261" s="100" t="s">
        <v>12</v>
      </c>
      <c r="H261" t="s">
        <v>1789</v>
      </c>
    </row>
    <row r="262" spans="1:8" ht="43.5">
      <c r="A262" s="103" t="s">
        <v>1787</v>
      </c>
      <c r="B262" s="103" t="str">
        <f t="shared" si="4"/>
        <v>C4</v>
      </c>
      <c r="C262" s="99">
        <v>1</v>
      </c>
      <c r="D262" s="100" t="s">
        <v>1427</v>
      </c>
      <c r="E262" s="101" t="s">
        <v>1790</v>
      </c>
      <c r="F262" s="102" t="s">
        <v>27</v>
      </c>
      <c r="G262" s="100" t="s">
        <v>12</v>
      </c>
      <c r="H262" t="s">
        <v>1789</v>
      </c>
    </row>
    <row r="263" spans="1:8" ht="43.5">
      <c r="A263" s="103" t="s">
        <v>1787</v>
      </c>
      <c r="B263" s="103" t="str">
        <f t="shared" si="4"/>
        <v>C4</v>
      </c>
      <c r="C263" s="99">
        <v>1</v>
      </c>
      <c r="D263" s="100" t="s">
        <v>1429</v>
      </c>
      <c r="E263" s="101" t="s">
        <v>1791</v>
      </c>
      <c r="F263" s="102" t="s">
        <v>27</v>
      </c>
      <c r="G263" s="100" t="s">
        <v>12</v>
      </c>
      <c r="H263" t="s">
        <v>1789</v>
      </c>
    </row>
    <row r="264" spans="1:8" ht="43.5">
      <c r="A264" s="103" t="s">
        <v>1787</v>
      </c>
      <c r="B264" s="103" t="str">
        <f t="shared" si="4"/>
        <v>C4</v>
      </c>
      <c r="C264" s="99">
        <v>1</v>
      </c>
      <c r="D264" s="100" t="s">
        <v>1431</v>
      </c>
      <c r="E264" s="101" t="s">
        <v>1792</v>
      </c>
      <c r="F264" s="102" t="s">
        <v>27</v>
      </c>
      <c r="G264" s="100" t="s">
        <v>12</v>
      </c>
      <c r="H264" t="s">
        <v>1789</v>
      </c>
    </row>
    <row r="265" spans="1:8" ht="43.5">
      <c r="A265" s="103" t="s">
        <v>1787</v>
      </c>
      <c r="B265" s="103" t="str">
        <f t="shared" si="4"/>
        <v>C4</v>
      </c>
      <c r="C265" s="99">
        <v>1</v>
      </c>
      <c r="D265" s="100" t="s">
        <v>1433</v>
      </c>
      <c r="E265" s="101" t="s">
        <v>1793</v>
      </c>
      <c r="F265" s="102" t="s">
        <v>27</v>
      </c>
      <c r="G265" s="100" t="s">
        <v>12</v>
      </c>
      <c r="H265" t="s">
        <v>1789</v>
      </c>
    </row>
    <row r="266" spans="1:8" ht="43.5">
      <c r="A266" s="103" t="s">
        <v>1787</v>
      </c>
      <c r="B266" s="103" t="str">
        <f t="shared" si="4"/>
        <v>C4</v>
      </c>
      <c r="C266" s="99">
        <v>1</v>
      </c>
      <c r="D266" s="100" t="s">
        <v>1435</v>
      </c>
      <c r="E266" s="101" t="s">
        <v>1794</v>
      </c>
      <c r="F266" s="102" t="s">
        <v>27</v>
      </c>
      <c r="G266" s="100" t="s">
        <v>12</v>
      </c>
      <c r="H266" t="s">
        <v>1789</v>
      </c>
    </row>
    <row r="267" spans="1:8" ht="43.5">
      <c r="A267" s="103" t="s">
        <v>1787</v>
      </c>
      <c r="B267" s="103" t="str">
        <f t="shared" si="4"/>
        <v>C4</v>
      </c>
      <c r="C267" s="99">
        <v>1</v>
      </c>
      <c r="D267" s="100" t="s">
        <v>1437</v>
      </c>
      <c r="E267" s="101" t="s">
        <v>1795</v>
      </c>
      <c r="F267" s="102" t="s">
        <v>27</v>
      </c>
      <c r="G267" s="100" t="s">
        <v>12</v>
      </c>
      <c r="H267" t="s">
        <v>1789</v>
      </c>
    </row>
    <row r="268" spans="1:8" ht="43.5">
      <c r="A268" s="103" t="s">
        <v>1787</v>
      </c>
      <c r="B268" s="103" t="str">
        <f t="shared" si="4"/>
        <v>C4</v>
      </c>
      <c r="C268" s="99">
        <v>1</v>
      </c>
      <c r="D268" s="100" t="s">
        <v>1439</v>
      </c>
      <c r="E268" s="101" t="s">
        <v>1796</v>
      </c>
      <c r="F268" s="102" t="s">
        <v>27</v>
      </c>
      <c r="G268" s="100" t="s">
        <v>12</v>
      </c>
      <c r="H268" t="s">
        <v>1789</v>
      </c>
    </row>
    <row r="269" spans="1:8" ht="58">
      <c r="A269" s="103" t="s">
        <v>1797</v>
      </c>
      <c r="B269" s="103" t="str">
        <f t="shared" si="4"/>
        <v>C5</v>
      </c>
      <c r="C269" s="99">
        <v>1</v>
      </c>
      <c r="D269" s="100" t="s">
        <v>129</v>
      </c>
      <c r="E269" s="101" t="s">
        <v>1798</v>
      </c>
      <c r="F269" s="102" t="s">
        <v>27</v>
      </c>
      <c r="G269" s="100" t="s">
        <v>544</v>
      </c>
      <c r="H269" t="s">
        <v>1799</v>
      </c>
    </row>
    <row r="270" spans="1:8" ht="58">
      <c r="A270" s="103" t="s">
        <v>1797</v>
      </c>
      <c r="B270" s="103" t="str">
        <f t="shared" si="4"/>
        <v>C5</v>
      </c>
      <c r="C270" s="99">
        <v>1</v>
      </c>
      <c r="D270" s="100" t="s">
        <v>227</v>
      </c>
      <c r="E270" s="101" t="s">
        <v>1800</v>
      </c>
      <c r="F270" s="102" t="s">
        <v>27</v>
      </c>
      <c r="G270" s="100" t="s">
        <v>544</v>
      </c>
      <c r="H270" t="s">
        <v>1799</v>
      </c>
    </row>
    <row r="271" spans="1:8" ht="58">
      <c r="A271" s="103" t="s">
        <v>1801</v>
      </c>
      <c r="B271" s="103" t="str">
        <f t="shared" si="4"/>
        <v>C6</v>
      </c>
      <c r="C271" s="99">
        <v>1</v>
      </c>
      <c r="D271" s="100" t="s">
        <v>129</v>
      </c>
      <c r="E271" s="101" t="s">
        <v>1802</v>
      </c>
      <c r="F271" s="102" t="s">
        <v>27</v>
      </c>
      <c r="G271" s="100" t="s">
        <v>544</v>
      </c>
      <c r="H271" t="s">
        <v>1799</v>
      </c>
    </row>
    <row r="272" spans="1:8" ht="58">
      <c r="A272" s="103" t="s">
        <v>1801</v>
      </c>
      <c r="B272" s="103" t="str">
        <f t="shared" si="4"/>
        <v>C6</v>
      </c>
      <c r="C272" s="99">
        <v>1</v>
      </c>
      <c r="D272" s="100" t="s">
        <v>227</v>
      </c>
      <c r="E272" s="101" t="s">
        <v>1803</v>
      </c>
      <c r="F272" s="102" t="s">
        <v>27</v>
      </c>
      <c r="G272" s="100" t="s">
        <v>544</v>
      </c>
      <c r="H272" t="s">
        <v>1799</v>
      </c>
    </row>
    <row r="273" spans="1:8" ht="58">
      <c r="A273" s="103" t="s">
        <v>1804</v>
      </c>
      <c r="B273" s="103" t="str">
        <f t="shared" si="4"/>
        <v>C7</v>
      </c>
      <c r="C273" s="99">
        <v>1</v>
      </c>
      <c r="D273" s="100" t="s">
        <v>129</v>
      </c>
      <c r="E273" s="101" t="s">
        <v>1805</v>
      </c>
      <c r="F273" s="102" t="s">
        <v>27</v>
      </c>
      <c r="G273" s="100" t="s">
        <v>544</v>
      </c>
      <c r="H273" t="s">
        <v>1799</v>
      </c>
    </row>
    <row r="274" spans="1:8" ht="58">
      <c r="A274" s="103" t="s">
        <v>1804</v>
      </c>
      <c r="B274" s="103" t="str">
        <f t="shared" si="4"/>
        <v>C7</v>
      </c>
      <c r="C274" s="99">
        <v>1</v>
      </c>
      <c r="D274" s="100" t="s">
        <v>227</v>
      </c>
      <c r="E274" s="101" t="s">
        <v>1806</v>
      </c>
      <c r="F274" s="102" t="s">
        <v>27</v>
      </c>
      <c r="G274" s="100" t="s">
        <v>544</v>
      </c>
      <c r="H274" t="s">
        <v>1799</v>
      </c>
    </row>
    <row r="275" spans="1:8" ht="58">
      <c r="A275" s="103" t="s">
        <v>1807</v>
      </c>
      <c r="B275" s="103" t="str">
        <f t="shared" si="4"/>
        <v>C8</v>
      </c>
      <c r="C275" s="99">
        <v>1</v>
      </c>
      <c r="D275" s="100" t="s">
        <v>129</v>
      </c>
      <c r="E275" s="101" t="s">
        <v>1808</v>
      </c>
      <c r="F275" s="102" t="s">
        <v>27</v>
      </c>
      <c r="G275" s="100" t="s">
        <v>544</v>
      </c>
      <c r="H275" t="s">
        <v>1799</v>
      </c>
    </row>
    <row r="276" spans="1:8" ht="58">
      <c r="A276" s="103" t="s">
        <v>1807</v>
      </c>
      <c r="B276" s="103" t="str">
        <f t="shared" si="4"/>
        <v>C8</v>
      </c>
      <c r="C276" s="99">
        <v>1</v>
      </c>
      <c r="D276" s="100" t="s">
        <v>227</v>
      </c>
      <c r="E276" s="101" t="s">
        <v>1809</v>
      </c>
      <c r="F276" s="102" t="s">
        <v>27</v>
      </c>
      <c r="G276" s="100" t="s">
        <v>544</v>
      </c>
      <c r="H276" t="s">
        <v>1799</v>
      </c>
    </row>
    <row r="277" spans="1:8" ht="72.5">
      <c r="A277" s="103" t="s">
        <v>1810</v>
      </c>
      <c r="B277" s="103" t="str">
        <f t="shared" si="4"/>
        <v>C9</v>
      </c>
      <c r="C277" s="99">
        <v>1</v>
      </c>
      <c r="D277" s="100" t="s">
        <v>129</v>
      </c>
      <c r="E277" s="101" t="s">
        <v>1811</v>
      </c>
      <c r="F277" s="102" t="s">
        <v>27</v>
      </c>
      <c r="G277" s="100" t="s">
        <v>544</v>
      </c>
      <c r="H277" t="s">
        <v>1812</v>
      </c>
    </row>
    <row r="278" spans="1:8" ht="72.5">
      <c r="A278" s="103" t="s">
        <v>1810</v>
      </c>
      <c r="B278" s="103" t="str">
        <f t="shared" si="4"/>
        <v>C9</v>
      </c>
      <c r="C278" s="99">
        <v>1</v>
      </c>
      <c r="D278" s="100" t="s">
        <v>227</v>
      </c>
      <c r="E278" s="101" t="s">
        <v>1813</v>
      </c>
      <c r="F278" s="102" t="s">
        <v>27</v>
      </c>
      <c r="G278" s="100" t="s">
        <v>544</v>
      </c>
      <c r="H278" t="s">
        <v>1812</v>
      </c>
    </row>
    <row r="279" spans="1:8" ht="72.5">
      <c r="A279" s="103" t="s">
        <v>1814</v>
      </c>
      <c r="B279" s="103" t="str">
        <f t="shared" si="4"/>
        <v>CA</v>
      </c>
      <c r="C279" s="99">
        <v>1</v>
      </c>
      <c r="D279" s="100" t="s">
        <v>129</v>
      </c>
      <c r="E279" s="101" t="s">
        <v>1815</v>
      </c>
      <c r="F279" s="102" t="s">
        <v>27</v>
      </c>
      <c r="G279" s="100" t="s">
        <v>544</v>
      </c>
      <c r="H279" t="s">
        <v>1812</v>
      </c>
    </row>
    <row r="280" spans="1:8" ht="72.5">
      <c r="A280" s="103" t="s">
        <v>1814</v>
      </c>
      <c r="B280" s="103" t="str">
        <f t="shared" si="4"/>
        <v>CA</v>
      </c>
      <c r="C280" s="99">
        <v>1</v>
      </c>
      <c r="D280" s="100" t="s">
        <v>227</v>
      </c>
      <c r="E280" s="101" t="s">
        <v>1816</v>
      </c>
      <c r="F280" s="102" t="s">
        <v>27</v>
      </c>
      <c r="G280" s="100" t="s">
        <v>544</v>
      </c>
      <c r="H280" t="s">
        <v>1812</v>
      </c>
    </row>
    <row r="281" spans="1:8" ht="72.5">
      <c r="A281" s="103" t="s">
        <v>1817</v>
      </c>
      <c r="B281" s="103" t="str">
        <f t="shared" si="4"/>
        <v>CB</v>
      </c>
      <c r="C281" s="99">
        <v>1</v>
      </c>
      <c r="D281" s="100" t="s">
        <v>129</v>
      </c>
      <c r="E281" s="101" t="s">
        <v>1818</v>
      </c>
      <c r="F281" s="102" t="s">
        <v>27</v>
      </c>
      <c r="G281" s="100" t="s">
        <v>544</v>
      </c>
      <c r="H281" t="s">
        <v>1812</v>
      </c>
    </row>
    <row r="282" spans="1:8" ht="72.5">
      <c r="A282" s="103" t="s">
        <v>1817</v>
      </c>
      <c r="B282" s="103" t="str">
        <f t="shared" si="4"/>
        <v>CB</v>
      </c>
      <c r="C282" s="99">
        <v>1</v>
      </c>
      <c r="D282" s="100" t="s">
        <v>227</v>
      </c>
      <c r="E282" s="101" t="s">
        <v>1819</v>
      </c>
      <c r="F282" s="102" t="s">
        <v>27</v>
      </c>
      <c r="G282" s="100" t="s">
        <v>544</v>
      </c>
      <c r="H282" t="s">
        <v>1812</v>
      </c>
    </row>
    <row r="283" spans="1:8" ht="72.5">
      <c r="A283" s="103" t="s">
        <v>1820</v>
      </c>
      <c r="B283" s="103" t="str">
        <f t="shared" si="4"/>
        <v>CC</v>
      </c>
      <c r="C283" s="99">
        <v>1</v>
      </c>
      <c r="D283" s="100" t="s">
        <v>129</v>
      </c>
      <c r="E283" s="101" t="s">
        <v>1821</v>
      </c>
      <c r="F283" s="102" t="s">
        <v>27</v>
      </c>
      <c r="G283" s="100" t="s">
        <v>544</v>
      </c>
      <c r="H283" t="s">
        <v>1812</v>
      </c>
    </row>
    <row r="284" spans="1:8" ht="72.5">
      <c r="A284" s="103" t="s">
        <v>1820</v>
      </c>
      <c r="B284" s="103" t="str">
        <f t="shared" si="4"/>
        <v>CC</v>
      </c>
      <c r="C284" s="99">
        <v>1</v>
      </c>
      <c r="D284" s="100" t="s">
        <v>227</v>
      </c>
      <c r="E284" s="101" t="s">
        <v>1822</v>
      </c>
      <c r="F284" s="102" t="s">
        <v>27</v>
      </c>
      <c r="G284" s="100" t="s">
        <v>544</v>
      </c>
      <c r="H284" t="s">
        <v>1812</v>
      </c>
    </row>
    <row r="285" spans="1:8" ht="58">
      <c r="A285" s="103" t="s">
        <v>1823</v>
      </c>
      <c r="B285" s="103" t="str">
        <f t="shared" si="4"/>
        <v>CD</v>
      </c>
      <c r="C285" s="99">
        <v>1</v>
      </c>
      <c r="D285" s="100" t="s">
        <v>129</v>
      </c>
      <c r="E285" s="101" t="s">
        <v>1824</v>
      </c>
      <c r="F285" s="102" t="s">
        <v>27</v>
      </c>
      <c r="G285" s="100" t="s">
        <v>544</v>
      </c>
      <c r="H285" t="s">
        <v>1825</v>
      </c>
    </row>
    <row r="286" spans="1:8" ht="58">
      <c r="A286" s="103" t="s">
        <v>1823</v>
      </c>
      <c r="B286" s="103" t="str">
        <f t="shared" si="4"/>
        <v>CD</v>
      </c>
      <c r="C286" s="99">
        <v>1</v>
      </c>
      <c r="D286" s="100" t="s">
        <v>227</v>
      </c>
      <c r="E286" s="101" t="s">
        <v>1826</v>
      </c>
      <c r="F286" s="102" t="s">
        <v>27</v>
      </c>
      <c r="G286" s="100" t="s">
        <v>544</v>
      </c>
      <c r="H286" t="s">
        <v>1825</v>
      </c>
    </row>
    <row r="287" spans="1:8" ht="58">
      <c r="A287" s="103" t="s">
        <v>1827</v>
      </c>
      <c r="B287" s="103" t="str">
        <f t="shared" si="4"/>
        <v>CE</v>
      </c>
      <c r="C287" s="99">
        <v>1</v>
      </c>
      <c r="D287" s="100" t="s">
        <v>129</v>
      </c>
      <c r="E287" s="101" t="s">
        <v>1828</v>
      </c>
      <c r="F287" s="102" t="s">
        <v>27</v>
      </c>
      <c r="G287" s="100" t="s">
        <v>544</v>
      </c>
      <c r="H287" t="s">
        <v>1825</v>
      </c>
    </row>
    <row r="288" spans="1:8" ht="58">
      <c r="A288" s="103" t="s">
        <v>1827</v>
      </c>
      <c r="B288" s="103" t="str">
        <f t="shared" si="4"/>
        <v>CE</v>
      </c>
      <c r="C288" s="99">
        <v>1</v>
      </c>
      <c r="D288" s="100" t="s">
        <v>227</v>
      </c>
      <c r="E288" s="101" t="s">
        <v>1829</v>
      </c>
      <c r="F288" s="102" t="s">
        <v>27</v>
      </c>
      <c r="G288" s="100" t="s">
        <v>544</v>
      </c>
      <c r="H288" t="s">
        <v>1825</v>
      </c>
    </row>
    <row r="289" spans="1:8" ht="58">
      <c r="A289" s="103" t="s">
        <v>1830</v>
      </c>
      <c r="B289" s="103" t="str">
        <f t="shared" si="4"/>
        <v>CF</v>
      </c>
      <c r="C289" s="99">
        <v>1</v>
      </c>
      <c r="D289" s="100" t="s">
        <v>129</v>
      </c>
      <c r="E289" s="101" t="s">
        <v>1831</v>
      </c>
      <c r="F289" s="102" t="s">
        <v>27</v>
      </c>
      <c r="G289" s="100" t="s">
        <v>544</v>
      </c>
      <c r="H289" t="s">
        <v>1825</v>
      </c>
    </row>
    <row r="290" spans="1:8" ht="58">
      <c r="A290" s="103" t="s">
        <v>1830</v>
      </c>
      <c r="B290" s="103" t="str">
        <f t="shared" si="4"/>
        <v>CF</v>
      </c>
      <c r="C290" s="99">
        <v>1</v>
      </c>
      <c r="D290" s="100" t="s">
        <v>227</v>
      </c>
      <c r="E290" s="101" t="s">
        <v>1832</v>
      </c>
      <c r="F290" s="102" t="s">
        <v>27</v>
      </c>
      <c r="G290" s="100" t="s">
        <v>544</v>
      </c>
      <c r="H290" t="s">
        <v>1825</v>
      </c>
    </row>
    <row r="291" spans="1:8" ht="58">
      <c r="A291" s="103" t="s">
        <v>1833</v>
      </c>
      <c r="B291" s="103" t="str">
        <f t="shared" si="4"/>
        <v>D0</v>
      </c>
      <c r="C291" s="99">
        <v>1</v>
      </c>
      <c r="D291" s="100" t="s">
        <v>129</v>
      </c>
      <c r="E291" s="101" t="s">
        <v>1834</v>
      </c>
      <c r="F291" s="102" t="s">
        <v>27</v>
      </c>
      <c r="G291" s="100" t="s">
        <v>544</v>
      </c>
      <c r="H291" t="s">
        <v>1825</v>
      </c>
    </row>
    <row r="292" spans="1:8" ht="58">
      <c r="A292" s="103" t="s">
        <v>1833</v>
      </c>
      <c r="B292" s="103" t="str">
        <f t="shared" si="4"/>
        <v>D0</v>
      </c>
      <c r="C292" s="99">
        <v>1</v>
      </c>
      <c r="D292" s="100" t="s">
        <v>227</v>
      </c>
      <c r="E292" s="101" t="s">
        <v>1835</v>
      </c>
      <c r="F292" s="102" t="s">
        <v>27</v>
      </c>
      <c r="G292" s="100" t="s">
        <v>544</v>
      </c>
      <c r="H292" t="s">
        <v>1825</v>
      </c>
    </row>
    <row r="293" spans="1:8" ht="29">
      <c r="A293" s="103" t="s">
        <v>1836</v>
      </c>
      <c r="B293" s="103" t="e">
        <f t="shared" si="4"/>
        <v>#VALUE!</v>
      </c>
      <c r="C293" s="99">
        <v>4</v>
      </c>
      <c r="D293" s="100" t="s">
        <v>18</v>
      </c>
      <c r="E293" s="101" t="s">
        <v>703</v>
      </c>
      <c r="F293" s="102" t="s">
        <v>9</v>
      </c>
      <c r="G293" s="100" t="s">
        <v>353</v>
      </c>
      <c r="H293" t="s">
        <v>1537</v>
      </c>
    </row>
    <row r="294" spans="1:8" ht="43.5">
      <c r="A294" s="103" t="s">
        <v>1837</v>
      </c>
      <c r="B294" s="103" t="str">
        <f t="shared" si="4"/>
        <v>D5</v>
      </c>
      <c r="C294" s="99">
        <v>1</v>
      </c>
      <c r="D294" s="100" t="s">
        <v>1424</v>
      </c>
      <c r="E294" s="101" t="s">
        <v>1838</v>
      </c>
      <c r="F294" s="102" t="s">
        <v>217</v>
      </c>
      <c r="G294" s="100" t="s">
        <v>12</v>
      </c>
      <c r="H294" t="s">
        <v>1839</v>
      </c>
    </row>
    <row r="295" spans="1:8" ht="43.5">
      <c r="A295" s="103" t="s">
        <v>1837</v>
      </c>
      <c r="B295" s="103" t="str">
        <f t="shared" si="4"/>
        <v>D5</v>
      </c>
      <c r="C295" s="99">
        <v>1</v>
      </c>
      <c r="D295" s="100" t="s">
        <v>1427</v>
      </c>
      <c r="E295" s="101" t="s">
        <v>1840</v>
      </c>
      <c r="F295" s="102" t="s">
        <v>217</v>
      </c>
      <c r="G295" s="100" t="s">
        <v>12</v>
      </c>
      <c r="H295" t="s">
        <v>1839</v>
      </c>
    </row>
    <row r="296" spans="1:8" ht="43.5">
      <c r="A296" s="103" t="s">
        <v>1837</v>
      </c>
      <c r="B296" s="103" t="str">
        <f t="shared" si="4"/>
        <v>D5</v>
      </c>
      <c r="C296" s="99">
        <v>1</v>
      </c>
      <c r="D296" s="100" t="s">
        <v>1429</v>
      </c>
      <c r="E296" s="101" t="s">
        <v>1841</v>
      </c>
      <c r="F296" s="102" t="s">
        <v>217</v>
      </c>
      <c r="G296" s="100" t="s">
        <v>12</v>
      </c>
      <c r="H296" t="s">
        <v>1839</v>
      </c>
    </row>
    <row r="297" spans="1:8" ht="43.5">
      <c r="A297" s="103" t="s">
        <v>1837</v>
      </c>
      <c r="B297" s="103" t="str">
        <f t="shared" si="4"/>
        <v>D5</v>
      </c>
      <c r="C297" s="99">
        <v>1</v>
      </c>
      <c r="D297" s="100" t="s">
        <v>1431</v>
      </c>
      <c r="E297" s="101" t="s">
        <v>1842</v>
      </c>
      <c r="F297" s="102" t="s">
        <v>217</v>
      </c>
      <c r="G297" s="100" t="s">
        <v>12</v>
      </c>
      <c r="H297" t="s">
        <v>1839</v>
      </c>
    </row>
    <row r="298" spans="1:8" ht="43.5">
      <c r="A298" s="103" t="s">
        <v>1837</v>
      </c>
      <c r="B298" s="103" t="str">
        <f t="shared" si="4"/>
        <v>D5</v>
      </c>
      <c r="C298" s="99">
        <v>1</v>
      </c>
      <c r="D298" s="100" t="s">
        <v>1433</v>
      </c>
      <c r="E298" s="101" t="s">
        <v>1843</v>
      </c>
      <c r="F298" s="102" t="s">
        <v>217</v>
      </c>
      <c r="G298" s="100" t="s">
        <v>12</v>
      </c>
      <c r="H298" t="s">
        <v>1839</v>
      </c>
    </row>
    <row r="299" spans="1:8" ht="43.5">
      <c r="A299" s="103" t="s">
        <v>1837</v>
      </c>
      <c r="B299" s="103" t="str">
        <f t="shared" si="4"/>
        <v>D5</v>
      </c>
      <c r="C299" s="99">
        <v>1</v>
      </c>
      <c r="D299" s="100" t="s">
        <v>1435</v>
      </c>
      <c r="E299" s="101" t="s">
        <v>1844</v>
      </c>
      <c r="F299" s="102" t="s">
        <v>217</v>
      </c>
      <c r="G299" s="100" t="s">
        <v>12</v>
      </c>
      <c r="H299" t="s">
        <v>1839</v>
      </c>
    </row>
    <row r="300" spans="1:8" ht="43.5">
      <c r="A300" s="103" t="s">
        <v>1837</v>
      </c>
      <c r="B300" s="103" t="str">
        <f t="shared" si="4"/>
        <v>D5</v>
      </c>
      <c r="C300" s="99">
        <v>1</v>
      </c>
      <c r="D300" s="100" t="s">
        <v>1437</v>
      </c>
      <c r="E300" s="101" t="s">
        <v>1845</v>
      </c>
      <c r="F300" s="102" t="s">
        <v>217</v>
      </c>
      <c r="G300" s="100" t="s">
        <v>12</v>
      </c>
      <c r="H300" t="s">
        <v>1839</v>
      </c>
    </row>
    <row r="301" spans="1:8" ht="43.5">
      <c r="A301" s="103" t="s">
        <v>1837</v>
      </c>
      <c r="B301" s="103" t="str">
        <f t="shared" si="4"/>
        <v>D5</v>
      </c>
      <c r="C301" s="99">
        <v>1</v>
      </c>
      <c r="D301" s="100" t="s">
        <v>1439</v>
      </c>
      <c r="E301" s="101" t="s">
        <v>1846</v>
      </c>
      <c r="F301" s="102" t="s">
        <v>217</v>
      </c>
      <c r="G301" s="100" t="s">
        <v>12</v>
      </c>
      <c r="H301" t="s">
        <v>1839</v>
      </c>
    </row>
    <row r="302" spans="1:8" ht="29">
      <c r="A302" s="103" t="s">
        <v>1847</v>
      </c>
      <c r="B302" s="103" t="str">
        <f t="shared" si="4"/>
        <v>D6</v>
      </c>
      <c r="C302" s="99">
        <v>1</v>
      </c>
      <c r="D302" s="100" t="s">
        <v>1424</v>
      </c>
      <c r="E302" s="101" t="s">
        <v>1848</v>
      </c>
      <c r="F302" s="102" t="s">
        <v>27</v>
      </c>
      <c r="G302" s="100" t="s">
        <v>12</v>
      </c>
      <c r="H302" t="s">
        <v>1849</v>
      </c>
    </row>
    <row r="303" spans="1:8" ht="29">
      <c r="A303" s="103" t="s">
        <v>1847</v>
      </c>
      <c r="B303" s="103" t="str">
        <f t="shared" si="4"/>
        <v>D6</v>
      </c>
      <c r="C303" s="99">
        <v>1</v>
      </c>
      <c r="D303" s="100" t="s">
        <v>1427</v>
      </c>
      <c r="E303" s="101" t="s">
        <v>1850</v>
      </c>
      <c r="F303" s="102" t="s">
        <v>27</v>
      </c>
      <c r="G303" s="100" t="s">
        <v>12</v>
      </c>
      <c r="H303" t="s">
        <v>1849</v>
      </c>
    </row>
    <row r="304" spans="1:8" ht="29">
      <c r="A304" s="103" t="s">
        <v>1847</v>
      </c>
      <c r="B304" s="103" t="str">
        <f t="shared" si="4"/>
        <v>D6</v>
      </c>
      <c r="C304" s="99">
        <v>1</v>
      </c>
      <c r="D304" s="100" t="s">
        <v>1429</v>
      </c>
      <c r="E304" s="101" t="s">
        <v>1851</v>
      </c>
      <c r="F304" s="102" t="s">
        <v>27</v>
      </c>
      <c r="G304" s="100" t="s">
        <v>12</v>
      </c>
      <c r="H304" t="s">
        <v>1849</v>
      </c>
    </row>
    <row r="305" spans="1:8" ht="29">
      <c r="A305" s="103" t="s">
        <v>1847</v>
      </c>
      <c r="B305" s="103" t="str">
        <f t="shared" si="4"/>
        <v>D6</v>
      </c>
      <c r="C305" s="99">
        <v>1</v>
      </c>
      <c r="D305" s="100" t="s">
        <v>1431</v>
      </c>
      <c r="E305" s="101" t="s">
        <v>1852</v>
      </c>
      <c r="F305" s="102" t="s">
        <v>27</v>
      </c>
      <c r="G305" s="100" t="s">
        <v>12</v>
      </c>
      <c r="H305" t="s">
        <v>1849</v>
      </c>
    </row>
    <row r="306" spans="1:8" ht="29">
      <c r="A306" s="103" t="s">
        <v>1847</v>
      </c>
      <c r="B306" s="103" t="str">
        <f t="shared" si="4"/>
        <v>D6</v>
      </c>
      <c r="C306" s="99">
        <v>1</v>
      </c>
      <c r="D306" s="100" t="s">
        <v>1433</v>
      </c>
      <c r="E306" s="101" t="s">
        <v>1853</v>
      </c>
      <c r="F306" s="102" t="s">
        <v>27</v>
      </c>
      <c r="G306" s="100" t="s">
        <v>12</v>
      </c>
      <c r="H306" t="s">
        <v>1849</v>
      </c>
    </row>
    <row r="307" spans="1:8" ht="29">
      <c r="A307" s="103" t="s">
        <v>1847</v>
      </c>
      <c r="B307" s="103" t="str">
        <f t="shared" si="4"/>
        <v>D6</v>
      </c>
      <c r="C307" s="99">
        <v>1</v>
      </c>
      <c r="D307" s="100" t="s">
        <v>1435</v>
      </c>
      <c r="E307" s="101" t="s">
        <v>1854</v>
      </c>
      <c r="F307" s="102" t="s">
        <v>27</v>
      </c>
      <c r="G307" s="100" t="s">
        <v>12</v>
      </c>
      <c r="H307" t="s">
        <v>1849</v>
      </c>
    </row>
    <row r="308" spans="1:8" ht="29">
      <c r="A308" s="103" t="s">
        <v>1847</v>
      </c>
      <c r="B308" s="103" t="str">
        <f t="shared" si="4"/>
        <v>D6</v>
      </c>
      <c r="C308" s="99">
        <v>1</v>
      </c>
      <c r="D308" s="100" t="s">
        <v>1437</v>
      </c>
      <c r="E308" s="101" t="s">
        <v>1855</v>
      </c>
      <c r="F308" s="102" t="s">
        <v>27</v>
      </c>
      <c r="G308" s="100" t="s">
        <v>12</v>
      </c>
      <c r="H308" t="s">
        <v>1849</v>
      </c>
    </row>
    <row r="309" spans="1:8" ht="29">
      <c r="A309" s="103" t="s">
        <v>1847</v>
      </c>
      <c r="B309" s="103" t="str">
        <f t="shared" si="4"/>
        <v>D6</v>
      </c>
      <c r="C309" s="99">
        <v>1</v>
      </c>
      <c r="D309" s="100" t="s">
        <v>1439</v>
      </c>
      <c r="E309" s="101" t="s">
        <v>1856</v>
      </c>
      <c r="F309" s="102" t="s">
        <v>27</v>
      </c>
      <c r="G309" s="100" t="s">
        <v>12</v>
      </c>
      <c r="H309" t="s">
        <v>1849</v>
      </c>
    </row>
    <row r="310" spans="1:8" ht="29">
      <c r="A310" s="103" t="s">
        <v>1857</v>
      </c>
      <c r="B310" s="103" t="str">
        <f t="shared" si="4"/>
        <v>D7</v>
      </c>
      <c r="C310" s="99">
        <v>1</v>
      </c>
      <c r="D310" s="100" t="s">
        <v>1424</v>
      </c>
      <c r="E310" s="101" t="s">
        <v>1858</v>
      </c>
      <c r="F310" s="102" t="s">
        <v>27</v>
      </c>
      <c r="G310" s="100" t="s">
        <v>12</v>
      </c>
      <c r="H310" t="s">
        <v>1859</v>
      </c>
    </row>
    <row r="311" spans="1:8" ht="29">
      <c r="A311" s="103" t="s">
        <v>1857</v>
      </c>
      <c r="B311" s="103" t="str">
        <f t="shared" si="4"/>
        <v>D7</v>
      </c>
      <c r="C311" s="99">
        <v>1</v>
      </c>
      <c r="D311" s="100" t="s">
        <v>1427</v>
      </c>
      <c r="E311" s="101" t="s">
        <v>1860</v>
      </c>
      <c r="F311" s="102" t="s">
        <v>27</v>
      </c>
      <c r="G311" s="100" t="s">
        <v>12</v>
      </c>
      <c r="H311" t="s">
        <v>1859</v>
      </c>
    </row>
    <row r="312" spans="1:8" ht="29">
      <c r="A312" s="103" t="s">
        <v>1857</v>
      </c>
      <c r="B312" s="103" t="str">
        <f t="shared" si="4"/>
        <v>D7</v>
      </c>
      <c r="C312" s="99">
        <v>1</v>
      </c>
      <c r="D312" s="100" t="s">
        <v>1429</v>
      </c>
      <c r="E312" s="101" t="s">
        <v>1861</v>
      </c>
      <c r="F312" s="102" t="s">
        <v>27</v>
      </c>
      <c r="G312" s="100" t="s">
        <v>12</v>
      </c>
      <c r="H312" t="s">
        <v>1859</v>
      </c>
    </row>
    <row r="313" spans="1:8" ht="29">
      <c r="A313" s="103" t="s">
        <v>1857</v>
      </c>
      <c r="B313" s="103" t="str">
        <f t="shared" si="4"/>
        <v>D7</v>
      </c>
      <c r="C313" s="99">
        <v>1</v>
      </c>
      <c r="D313" s="100" t="s">
        <v>1431</v>
      </c>
      <c r="E313" s="101" t="s">
        <v>1862</v>
      </c>
      <c r="F313" s="102" t="s">
        <v>27</v>
      </c>
      <c r="G313" s="100" t="s">
        <v>12</v>
      </c>
      <c r="H313" t="s">
        <v>1859</v>
      </c>
    </row>
    <row r="314" spans="1:8" ht="29">
      <c r="A314" s="103" t="s">
        <v>1857</v>
      </c>
      <c r="B314" s="103" t="str">
        <f t="shared" si="4"/>
        <v>D7</v>
      </c>
      <c r="C314" s="99">
        <v>1</v>
      </c>
      <c r="D314" s="100" t="s">
        <v>1433</v>
      </c>
      <c r="E314" s="101" t="s">
        <v>1863</v>
      </c>
      <c r="F314" s="102" t="s">
        <v>27</v>
      </c>
      <c r="G314" s="100" t="s">
        <v>12</v>
      </c>
      <c r="H314" t="s">
        <v>1859</v>
      </c>
    </row>
    <row r="315" spans="1:8" ht="29">
      <c r="A315" s="103" t="s">
        <v>1857</v>
      </c>
      <c r="B315" s="103" t="str">
        <f t="shared" si="4"/>
        <v>D7</v>
      </c>
      <c r="C315" s="99">
        <v>1</v>
      </c>
      <c r="D315" s="100" t="s">
        <v>1435</v>
      </c>
      <c r="E315" s="101" t="s">
        <v>1864</v>
      </c>
      <c r="F315" s="102" t="s">
        <v>27</v>
      </c>
      <c r="G315" s="100" t="s">
        <v>12</v>
      </c>
      <c r="H315" t="s">
        <v>1859</v>
      </c>
    </row>
    <row r="316" spans="1:8" ht="29">
      <c r="A316" s="103" t="s">
        <v>1857</v>
      </c>
      <c r="B316" s="103" t="str">
        <f t="shared" si="4"/>
        <v>D7</v>
      </c>
      <c r="C316" s="99">
        <v>1</v>
      </c>
      <c r="D316" s="100" t="s">
        <v>1437</v>
      </c>
      <c r="E316" s="101" t="s">
        <v>1865</v>
      </c>
      <c r="F316" s="102" t="s">
        <v>27</v>
      </c>
      <c r="G316" s="100" t="s">
        <v>12</v>
      </c>
      <c r="H316" t="s">
        <v>1859</v>
      </c>
    </row>
    <row r="317" spans="1:8" ht="29">
      <c r="A317" s="103" t="s">
        <v>1857</v>
      </c>
      <c r="B317" s="103" t="str">
        <f t="shared" si="4"/>
        <v>D7</v>
      </c>
      <c r="C317" s="99">
        <v>1</v>
      </c>
      <c r="D317" s="100" t="s">
        <v>1439</v>
      </c>
      <c r="E317" s="101" t="s">
        <v>1866</v>
      </c>
      <c r="F317" s="102" t="s">
        <v>27</v>
      </c>
      <c r="G317" s="100" t="s">
        <v>12</v>
      </c>
      <c r="H317" t="s">
        <v>1859</v>
      </c>
    </row>
    <row r="318" spans="1:8" ht="29">
      <c r="A318" s="103" t="s">
        <v>1867</v>
      </c>
      <c r="B318" s="103" t="str">
        <f t="shared" si="4"/>
        <v>D8</v>
      </c>
      <c r="C318" s="99">
        <v>1</v>
      </c>
      <c r="D318" s="100" t="s">
        <v>1424</v>
      </c>
      <c r="E318" s="101" t="s">
        <v>1868</v>
      </c>
      <c r="F318" s="102" t="s">
        <v>27</v>
      </c>
      <c r="G318" s="100" t="s">
        <v>12</v>
      </c>
      <c r="H318" t="s">
        <v>1869</v>
      </c>
    </row>
    <row r="319" spans="1:8" ht="29">
      <c r="A319" s="103" t="s">
        <v>1867</v>
      </c>
      <c r="B319" s="103" t="str">
        <f t="shared" si="4"/>
        <v>D8</v>
      </c>
      <c r="C319" s="99">
        <v>1</v>
      </c>
      <c r="D319" s="100" t="s">
        <v>1427</v>
      </c>
      <c r="E319" s="101" t="s">
        <v>1870</v>
      </c>
      <c r="F319" s="102" t="s">
        <v>27</v>
      </c>
      <c r="G319" s="100" t="s">
        <v>12</v>
      </c>
      <c r="H319" t="s">
        <v>1869</v>
      </c>
    </row>
    <row r="320" spans="1:8" ht="29">
      <c r="A320" s="103" t="s">
        <v>1867</v>
      </c>
      <c r="B320" s="103" t="str">
        <f t="shared" si="4"/>
        <v>D8</v>
      </c>
      <c r="C320" s="99">
        <v>1</v>
      </c>
      <c r="D320" s="100" t="s">
        <v>1429</v>
      </c>
      <c r="E320" s="101" t="s">
        <v>1871</v>
      </c>
      <c r="F320" s="102" t="s">
        <v>27</v>
      </c>
      <c r="G320" s="100" t="s">
        <v>12</v>
      </c>
      <c r="H320" t="s">
        <v>1869</v>
      </c>
    </row>
    <row r="321" spans="1:8" ht="29">
      <c r="A321" s="103" t="s">
        <v>1867</v>
      </c>
      <c r="B321" s="103" t="str">
        <f t="shared" si="4"/>
        <v>D8</v>
      </c>
      <c r="C321" s="99">
        <v>1</v>
      </c>
      <c r="D321" s="100" t="s">
        <v>1431</v>
      </c>
      <c r="E321" s="101" t="s">
        <v>1872</v>
      </c>
      <c r="F321" s="102" t="s">
        <v>27</v>
      </c>
      <c r="G321" s="100" t="s">
        <v>12</v>
      </c>
      <c r="H321" t="s">
        <v>1869</v>
      </c>
    </row>
    <row r="322" spans="1:8" ht="29">
      <c r="A322" s="103" t="s">
        <v>1867</v>
      </c>
      <c r="B322" s="103" t="str">
        <f t="shared" ref="B322:B385" si="5">DEC2HEX(A322, 2)</f>
        <v>D8</v>
      </c>
      <c r="C322" s="99">
        <v>1</v>
      </c>
      <c r="D322" s="100" t="s">
        <v>1433</v>
      </c>
      <c r="E322" s="101" t="s">
        <v>1873</v>
      </c>
      <c r="F322" s="102" t="s">
        <v>27</v>
      </c>
      <c r="G322" s="100" t="s">
        <v>12</v>
      </c>
      <c r="H322" t="s">
        <v>1869</v>
      </c>
    </row>
    <row r="323" spans="1:8" ht="29">
      <c r="A323" s="103" t="s">
        <v>1867</v>
      </c>
      <c r="B323" s="103" t="str">
        <f t="shared" si="5"/>
        <v>D8</v>
      </c>
      <c r="C323" s="99">
        <v>1</v>
      </c>
      <c r="D323" s="100" t="s">
        <v>1435</v>
      </c>
      <c r="E323" s="101" t="s">
        <v>1874</v>
      </c>
      <c r="F323" s="102" t="s">
        <v>27</v>
      </c>
      <c r="G323" s="100" t="s">
        <v>12</v>
      </c>
      <c r="H323" t="s">
        <v>1869</v>
      </c>
    </row>
    <row r="324" spans="1:8" ht="29">
      <c r="A324" s="103" t="s">
        <v>1867</v>
      </c>
      <c r="B324" s="103" t="str">
        <f t="shared" si="5"/>
        <v>D8</v>
      </c>
      <c r="C324" s="99">
        <v>1</v>
      </c>
      <c r="D324" s="100" t="s">
        <v>1437</v>
      </c>
      <c r="E324" s="101" t="s">
        <v>1875</v>
      </c>
      <c r="F324" s="102" t="s">
        <v>27</v>
      </c>
      <c r="G324" s="100" t="s">
        <v>12</v>
      </c>
      <c r="H324" t="s">
        <v>1869</v>
      </c>
    </row>
    <row r="325" spans="1:8" ht="29">
      <c r="A325" s="103" t="s">
        <v>1867</v>
      </c>
      <c r="B325" s="103" t="str">
        <f t="shared" si="5"/>
        <v>D8</v>
      </c>
      <c r="C325" s="99">
        <v>1</v>
      </c>
      <c r="D325" s="100" t="s">
        <v>1439</v>
      </c>
      <c r="E325" s="101" t="s">
        <v>1876</v>
      </c>
      <c r="F325" s="102" t="s">
        <v>27</v>
      </c>
      <c r="G325" s="100" t="s">
        <v>12</v>
      </c>
      <c r="H325" t="s">
        <v>1869</v>
      </c>
    </row>
    <row r="326" spans="1:8" ht="58">
      <c r="A326" s="103" t="s">
        <v>1877</v>
      </c>
      <c r="B326" s="103" t="str">
        <f t="shared" si="5"/>
        <v>D9</v>
      </c>
      <c r="C326" s="99">
        <v>1</v>
      </c>
      <c r="D326" s="100" t="s">
        <v>1424</v>
      </c>
      <c r="E326" s="101" t="s">
        <v>1878</v>
      </c>
      <c r="F326" s="102" t="s">
        <v>27</v>
      </c>
      <c r="G326" s="100" t="s">
        <v>12</v>
      </c>
      <c r="H326" t="s">
        <v>1879</v>
      </c>
    </row>
    <row r="327" spans="1:8" ht="58">
      <c r="A327" s="103" t="s">
        <v>1877</v>
      </c>
      <c r="B327" s="103" t="str">
        <f t="shared" si="5"/>
        <v>D9</v>
      </c>
      <c r="C327" s="99">
        <v>1</v>
      </c>
      <c r="D327" s="100" t="s">
        <v>1427</v>
      </c>
      <c r="E327" s="101" t="s">
        <v>1880</v>
      </c>
      <c r="F327" s="102" t="s">
        <v>27</v>
      </c>
      <c r="G327" s="100" t="s">
        <v>12</v>
      </c>
      <c r="H327" t="s">
        <v>1879</v>
      </c>
    </row>
    <row r="328" spans="1:8" ht="58">
      <c r="A328" s="103" t="s">
        <v>1877</v>
      </c>
      <c r="B328" s="103" t="str">
        <f t="shared" si="5"/>
        <v>D9</v>
      </c>
      <c r="C328" s="99">
        <v>1</v>
      </c>
      <c r="D328" s="100" t="s">
        <v>1429</v>
      </c>
      <c r="E328" s="101" t="s">
        <v>1881</v>
      </c>
      <c r="F328" s="102" t="s">
        <v>27</v>
      </c>
      <c r="G328" s="100" t="s">
        <v>12</v>
      </c>
      <c r="H328" t="s">
        <v>1879</v>
      </c>
    </row>
    <row r="329" spans="1:8" ht="58">
      <c r="A329" s="103" t="s">
        <v>1877</v>
      </c>
      <c r="B329" s="103" t="str">
        <f t="shared" si="5"/>
        <v>D9</v>
      </c>
      <c r="C329" s="99">
        <v>1</v>
      </c>
      <c r="D329" s="100" t="s">
        <v>1431</v>
      </c>
      <c r="E329" s="101" t="s">
        <v>1882</v>
      </c>
      <c r="F329" s="102" t="s">
        <v>27</v>
      </c>
      <c r="G329" s="100" t="s">
        <v>12</v>
      </c>
      <c r="H329" t="s">
        <v>1879</v>
      </c>
    </row>
    <row r="330" spans="1:8" ht="58">
      <c r="A330" s="103" t="s">
        <v>1877</v>
      </c>
      <c r="B330" s="103" t="str">
        <f t="shared" si="5"/>
        <v>D9</v>
      </c>
      <c r="C330" s="99">
        <v>1</v>
      </c>
      <c r="D330" s="100" t="s">
        <v>1433</v>
      </c>
      <c r="E330" s="101" t="s">
        <v>1883</v>
      </c>
      <c r="F330" s="102" t="s">
        <v>27</v>
      </c>
      <c r="G330" s="100" t="s">
        <v>12</v>
      </c>
      <c r="H330" t="s">
        <v>1879</v>
      </c>
    </row>
    <row r="331" spans="1:8" ht="58">
      <c r="A331" s="103" t="s">
        <v>1877</v>
      </c>
      <c r="B331" s="103" t="str">
        <f t="shared" si="5"/>
        <v>D9</v>
      </c>
      <c r="C331" s="99">
        <v>1</v>
      </c>
      <c r="D331" s="100" t="s">
        <v>1435</v>
      </c>
      <c r="E331" s="101" t="s">
        <v>1884</v>
      </c>
      <c r="F331" s="102" t="s">
        <v>27</v>
      </c>
      <c r="G331" s="100" t="s">
        <v>12</v>
      </c>
      <c r="H331" t="s">
        <v>1879</v>
      </c>
    </row>
    <row r="332" spans="1:8" ht="58">
      <c r="A332" s="103" t="s">
        <v>1877</v>
      </c>
      <c r="B332" s="103" t="str">
        <f t="shared" si="5"/>
        <v>D9</v>
      </c>
      <c r="C332" s="99">
        <v>1</v>
      </c>
      <c r="D332" s="100" t="s">
        <v>1437</v>
      </c>
      <c r="E332" s="101" t="s">
        <v>1885</v>
      </c>
      <c r="F332" s="102" t="s">
        <v>27</v>
      </c>
      <c r="G332" s="100" t="s">
        <v>12</v>
      </c>
      <c r="H332" t="s">
        <v>1879</v>
      </c>
    </row>
    <row r="333" spans="1:8" ht="58">
      <c r="A333" s="103" t="s">
        <v>1877</v>
      </c>
      <c r="B333" s="103" t="str">
        <f t="shared" si="5"/>
        <v>D9</v>
      </c>
      <c r="C333" s="99">
        <v>1</v>
      </c>
      <c r="D333" s="100" t="s">
        <v>1439</v>
      </c>
      <c r="E333" s="101" t="s">
        <v>1886</v>
      </c>
      <c r="F333" s="102" t="s">
        <v>27</v>
      </c>
      <c r="G333" s="100" t="s">
        <v>12</v>
      </c>
      <c r="H333" t="s">
        <v>1879</v>
      </c>
    </row>
    <row r="334" spans="1:8" ht="58">
      <c r="A334" s="103" t="s">
        <v>1887</v>
      </c>
      <c r="B334" s="103" t="str">
        <f t="shared" si="5"/>
        <v>DA</v>
      </c>
      <c r="C334" s="99">
        <v>1</v>
      </c>
      <c r="D334" s="100" t="s">
        <v>1424</v>
      </c>
      <c r="E334" s="101" t="s">
        <v>1888</v>
      </c>
      <c r="F334" s="102" t="s">
        <v>27</v>
      </c>
      <c r="G334" s="100" t="s">
        <v>12</v>
      </c>
      <c r="H334" t="s">
        <v>1889</v>
      </c>
    </row>
    <row r="335" spans="1:8" ht="58">
      <c r="A335" s="103" t="s">
        <v>1887</v>
      </c>
      <c r="B335" s="103" t="str">
        <f t="shared" si="5"/>
        <v>DA</v>
      </c>
      <c r="C335" s="99">
        <v>1</v>
      </c>
      <c r="D335" s="100" t="s">
        <v>1427</v>
      </c>
      <c r="E335" s="101" t="s">
        <v>1890</v>
      </c>
      <c r="F335" s="102" t="s">
        <v>27</v>
      </c>
      <c r="G335" s="100" t="s">
        <v>12</v>
      </c>
      <c r="H335" t="s">
        <v>1889</v>
      </c>
    </row>
    <row r="336" spans="1:8" ht="58">
      <c r="A336" s="103" t="s">
        <v>1887</v>
      </c>
      <c r="B336" s="103" t="str">
        <f t="shared" si="5"/>
        <v>DA</v>
      </c>
      <c r="C336" s="99">
        <v>1</v>
      </c>
      <c r="D336" s="100" t="s">
        <v>1429</v>
      </c>
      <c r="E336" s="101" t="s">
        <v>1891</v>
      </c>
      <c r="F336" s="102" t="s">
        <v>27</v>
      </c>
      <c r="G336" s="100" t="s">
        <v>12</v>
      </c>
      <c r="H336" t="s">
        <v>1889</v>
      </c>
    </row>
    <row r="337" spans="1:8" ht="58">
      <c r="A337" s="103" t="s">
        <v>1887</v>
      </c>
      <c r="B337" s="103" t="str">
        <f t="shared" si="5"/>
        <v>DA</v>
      </c>
      <c r="C337" s="99">
        <v>1</v>
      </c>
      <c r="D337" s="100" t="s">
        <v>1431</v>
      </c>
      <c r="E337" s="101" t="s">
        <v>1892</v>
      </c>
      <c r="F337" s="102" t="s">
        <v>27</v>
      </c>
      <c r="G337" s="100" t="s">
        <v>12</v>
      </c>
      <c r="H337" t="s">
        <v>1889</v>
      </c>
    </row>
    <row r="338" spans="1:8" ht="58">
      <c r="A338" s="103" t="s">
        <v>1887</v>
      </c>
      <c r="B338" s="103" t="str">
        <f t="shared" si="5"/>
        <v>DA</v>
      </c>
      <c r="C338" s="99">
        <v>1</v>
      </c>
      <c r="D338" s="100" t="s">
        <v>1433</v>
      </c>
      <c r="E338" s="101" t="s">
        <v>1893</v>
      </c>
      <c r="F338" s="102" t="s">
        <v>27</v>
      </c>
      <c r="G338" s="100" t="s">
        <v>12</v>
      </c>
      <c r="H338" t="s">
        <v>1889</v>
      </c>
    </row>
    <row r="339" spans="1:8" ht="58">
      <c r="A339" s="103" t="s">
        <v>1887</v>
      </c>
      <c r="B339" s="103" t="str">
        <f t="shared" si="5"/>
        <v>DA</v>
      </c>
      <c r="C339" s="99">
        <v>1</v>
      </c>
      <c r="D339" s="100" t="s">
        <v>1435</v>
      </c>
      <c r="E339" s="101" t="s">
        <v>1894</v>
      </c>
      <c r="F339" s="102" t="s">
        <v>27</v>
      </c>
      <c r="G339" s="100" t="s">
        <v>12</v>
      </c>
      <c r="H339" t="s">
        <v>1889</v>
      </c>
    </row>
    <row r="340" spans="1:8" ht="58">
      <c r="A340" s="103" t="s">
        <v>1887</v>
      </c>
      <c r="B340" s="103" t="str">
        <f t="shared" si="5"/>
        <v>DA</v>
      </c>
      <c r="C340" s="99">
        <v>1</v>
      </c>
      <c r="D340" s="100" t="s">
        <v>1437</v>
      </c>
      <c r="E340" s="101" t="s">
        <v>1895</v>
      </c>
      <c r="F340" s="102" t="s">
        <v>27</v>
      </c>
      <c r="G340" s="100" t="s">
        <v>12</v>
      </c>
      <c r="H340" t="s">
        <v>1889</v>
      </c>
    </row>
    <row r="341" spans="1:8" ht="58">
      <c r="A341" s="103" t="s">
        <v>1887</v>
      </c>
      <c r="B341" s="103" t="str">
        <f t="shared" si="5"/>
        <v>DA</v>
      </c>
      <c r="C341" s="99">
        <v>1</v>
      </c>
      <c r="D341" s="100" t="s">
        <v>1439</v>
      </c>
      <c r="E341" s="101" t="s">
        <v>1896</v>
      </c>
      <c r="F341" s="102" t="s">
        <v>27</v>
      </c>
      <c r="G341" s="100" t="s">
        <v>12</v>
      </c>
      <c r="H341" t="s">
        <v>1889</v>
      </c>
    </row>
    <row r="342" spans="1:8" ht="58">
      <c r="A342" s="103" t="s">
        <v>1897</v>
      </c>
      <c r="B342" s="103" t="str">
        <f t="shared" si="5"/>
        <v>DB</v>
      </c>
      <c r="C342" s="99">
        <v>1</v>
      </c>
      <c r="D342" s="100" t="s">
        <v>1424</v>
      </c>
      <c r="E342" s="101" t="s">
        <v>1898</v>
      </c>
      <c r="F342" s="102" t="s">
        <v>27</v>
      </c>
      <c r="G342" s="100" t="s">
        <v>12</v>
      </c>
      <c r="H342" t="s">
        <v>1899</v>
      </c>
    </row>
    <row r="343" spans="1:8" ht="58">
      <c r="A343" s="103" t="s">
        <v>1897</v>
      </c>
      <c r="B343" s="103" t="str">
        <f t="shared" si="5"/>
        <v>DB</v>
      </c>
      <c r="C343" s="99">
        <v>1</v>
      </c>
      <c r="D343" s="100" t="s">
        <v>1427</v>
      </c>
      <c r="E343" s="101" t="s">
        <v>1900</v>
      </c>
      <c r="F343" s="102" t="s">
        <v>27</v>
      </c>
      <c r="G343" s="100" t="s">
        <v>12</v>
      </c>
      <c r="H343" t="s">
        <v>1899</v>
      </c>
    </row>
    <row r="344" spans="1:8" ht="58">
      <c r="A344" s="103" t="s">
        <v>1897</v>
      </c>
      <c r="B344" s="103" t="str">
        <f t="shared" si="5"/>
        <v>DB</v>
      </c>
      <c r="C344" s="99">
        <v>1</v>
      </c>
      <c r="D344" s="100" t="s">
        <v>1429</v>
      </c>
      <c r="E344" s="101" t="s">
        <v>1901</v>
      </c>
      <c r="F344" s="102" t="s">
        <v>27</v>
      </c>
      <c r="G344" s="100" t="s">
        <v>12</v>
      </c>
      <c r="H344" t="s">
        <v>1899</v>
      </c>
    </row>
    <row r="345" spans="1:8" ht="58">
      <c r="A345" s="103" t="s">
        <v>1897</v>
      </c>
      <c r="B345" s="103" t="str">
        <f t="shared" si="5"/>
        <v>DB</v>
      </c>
      <c r="C345" s="99">
        <v>1</v>
      </c>
      <c r="D345" s="100" t="s">
        <v>1431</v>
      </c>
      <c r="E345" s="101" t="s">
        <v>1902</v>
      </c>
      <c r="F345" s="102" t="s">
        <v>27</v>
      </c>
      <c r="G345" s="100" t="s">
        <v>12</v>
      </c>
      <c r="H345" t="s">
        <v>1899</v>
      </c>
    </row>
    <row r="346" spans="1:8" ht="58">
      <c r="A346" s="103" t="s">
        <v>1897</v>
      </c>
      <c r="B346" s="103" t="str">
        <f t="shared" si="5"/>
        <v>DB</v>
      </c>
      <c r="C346" s="99">
        <v>1</v>
      </c>
      <c r="D346" s="100" t="s">
        <v>1433</v>
      </c>
      <c r="E346" s="101" t="s">
        <v>1903</v>
      </c>
      <c r="F346" s="102" t="s">
        <v>27</v>
      </c>
      <c r="G346" s="100" t="s">
        <v>12</v>
      </c>
      <c r="H346" t="s">
        <v>1899</v>
      </c>
    </row>
    <row r="347" spans="1:8" ht="58">
      <c r="A347" s="103" t="s">
        <v>1897</v>
      </c>
      <c r="B347" s="103" t="str">
        <f t="shared" si="5"/>
        <v>DB</v>
      </c>
      <c r="C347" s="99">
        <v>1</v>
      </c>
      <c r="D347" s="100" t="s">
        <v>1435</v>
      </c>
      <c r="E347" s="101" t="s">
        <v>1904</v>
      </c>
      <c r="F347" s="102" t="s">
        <v>27</v>
      </c>
      <c r="G347" s="100" t="s">
        <v>12</v>
      </c>
      <c r="H347" t="s">
        <v>1899</v>
      </c>
    </row>
    <row r="348" spans="1:8" ht="58">
      <c r="A348" s="103" t="s">
        <v>1897</v>
      </c>
      <c r="B348" s="103" t="str">
        <f t="shared" si="5"/>
        <v>DB</v>
      </c>
      <c r="C348" s="99">
        <v>1</v>
      </c>
      <c r="D348" s="100" t="s">
        <v>1437</v>
      </c>
      <c r="E348" s="101" t="s">
        <v>1905</v>
      </c>
      <c r="F348" s="102" t="s">
        <v>27</v>
      </c>
      <c r="G348" s="100" t="s">
        <v>12</v>
      </c>
      <c r="H348" t="s">
        <v>1899</v>
      </c>
    </row>
    <row r="349" spans="1:8" ht="58">
      <c r="A349" s="103" t="s">
        <v>1897</v>
      </c>
      <c r="B349" s="103" t="str">
        <f t="shared" si="5"/>
        <v>DB</v>
      </c>
      <c r="C349" s="99">
        <v>1</v>
      </c>
      <c r="D349" s="100" t="s">
        <v>1439</v>
      </c>
      <c r="E349" s="101" t="s">
        <v>1906</v>
      </c>
      <c r="F349" s="102" t="s">
        <v>27</v>
      </c>
      <c r="G349" s="100" t="s">
        <v>12</v>
      </c>
      <c r="H349" t="s">
        <v>1899</v>
      </c>
    </row>
    <row r="350" spans="1:8" ht="72.5">
      <c r="A350" s="103" t="s">
        <v>1907</v>
      </c>
      <c r="B350" s="103" t="str">
        <f t="shared" si="5"/>
        <v>DC</v>
      </c>
      <c r="C350" s="99">
        <v>1</v>
      </c>
      <c r="D350" s="100" t="s">
        <v>1424</v>
      </c>
      <c r="E350" s="101" t="s">
        <v>1908</v>
      </c>
      <c r="F350" s="102" t="s">
        <v>27</v>
      </c>
      <c r="G350" s="100" t="s">
        <v>12</v>
      </c>
      <c r="H350" t="s">
        <v>1909</v>
      </c>
    </row>
    <row r="351" spans="1:8" ht="72.5">
      <c r="A351" s="103" t="s">
        <v>1907</v>
      </c>
      <c r="B351" s="103" t="str">
        <f t="shared" si="5"/>
        <v>DC</v>
      </c>
      <c r="C351" s="99">
        <v>1</v>
      </c>
      <c r="D351" s="100" t="s">
        <v>1427</v>
      </c>
      <c r="E351" s="101" t="s">
        <v>1910</v>
      </c>
      <c r="F351" s="102" t="s">
        <v>27</v>
      </c>
      <c r="G351" s="100" t="s">
        <v>12</v>
      </c>
      <c r="H351" t="s">
        <v>1909</v>
      </c>
    </row>
    <row r="352" spans="1:8" ht="72.5">
      <c r="A352" s="103" t="s">
        <v>1907</v>
      </c>
      <c r="B352" s="103" t="str">
        <f t="shared" si="5"/>
        <v>DC</v>
      </c>
      <c r="C352" s="99">
        <v>1</v>
      </c>
      <c r="D352" s="100" t="s">
        <v>1429</v>
      </c>
      <c r="E352" s="101" t="s">
        <v>1911</v>
      </c>
      <c r="F352" s="102" t="s">
        <v>27</v>
      </c>
      <c r="G352" s="100" t="s">
        <v>12</v>
      </c>
      <c r="H352" t="s">
        <v>1909</v>
      </c>
    </row>
    <row r="353" spans="1:8" ht="72.5">
      <c r="A353" s="103" t="s">
        <v>1907</v>
      </c>
      <c r="B353" s="103" t="str">
        <f t="shared" si="5"/>
        <v>DC</v>
      </c>
      <c r="C353" s="99">
        <v>1</v>
      </c>
      <c r="D353" s="100" t="s">
        <v>1431</v>
      </c>
      <c r="E353" s="101" t="s">
        <v>1912</v>
      </c>
      <c r="F353" s="102" t="s">
        <v>27</v>
      </c>
      <c r="G353" s="100" t="s">
        <v>12</v>
      </c>
      <c r="H353" t="s">
        <v>1909</v>
      </c>
    </row>
    <row r="354" spans="1:8" ht="72.5">
      <c r="A354" s="103" t="s">
        <v>1907</v>
      </c>
      <c r="B354" s="103" t="str">
        <f t="shared" si="5"/>
        <v>DC</v>
      </c>
      <c r="C354" s="99">
        <v>1</v>
      </c>
      <c r="D354" s="100" t="s">
        <v>1433</v>
      </c>
      <c r="E354" s="101" t="s">
        <v>1913</v>
      </c>
      <c r="F354" s="102" t="s">
        <v>27</v>
      </c>
      <c r="G354" s="100" t="s">
        <v>12</v>
      </c>
      <c r="H354" t="s">
        <v>1909</v>
      </c>
    </row>
    <row r="355" spans="1:8" ht="72.5">
      <c r="A355" s="103" t="s">
        <v>1907</v>
      </c>
      <c r="B355" s="103" t="str">
        <f t="shared" si="5"/>
        <v>DC</v>
      </c>
      <c r="C355" s="99">
        <v>1</v>
      </c>
      <c r="D355" s="100" t="s">
        <v>1435</v>
      </c>
      <c r="E355" s="101" t="s">
        <v>1914</v>
      </c>
      <c r="F355" s="102" t="s">
        <v>27</v>
      </c>
      <c r="G355" s="100" t="s">
        <v>12</v>
      </c>
      <c r="H355" t="s">
        <v>1909</v>
      </c>
    </row>
    <row r="356" spans="1:8" ht="72.5">
      <c r="A356" s="103" t="s">
        <v>1907</v>
      </c>
      <c r="B356" s="103" t="str">
        <f t="shared" si="5"/>
        <v>DC</v>
      </c>
      <c r="C356" s="99">
        <v>1</v>
      </c>
      <c r="D356" s="100" t="s">
        <v>1437</v>
      </c>
      <c r="E356" s="101" t="s">
        <v>1915</v>
      </c>
      <c r="F356" s="102" t="s">
        <v>27</v>
      </c>
      <c r="G356" s="100" t="s">
        <v>12</v>
      </c>
      <c r="H356" t="s">
        <v>1909</v>
      </c>
    </row>
    <row r="357" spans="1:8" ht="72.5">
      <c r="A357" s="103" t="s">
        <v>1907</v>
      </c>
      <c r="B357" s="103" t="str">
        <f t="shared" si="5"/>
        <v>DC</v>
      </c>
      <c r="C357" s="99">
        <v>1</v>
      </c>
      <c r="D357" s="100" t="s">
        <v>1439</v>
      </c>
      <c r="E357" s="101" t="s">
        <v>1916</v>
      </c>
      <c r="F357" s="102" t="s">
        <v>27</v>
      </c>
      <c r="G357" s="100" t="s">
        <v>12</v>
      </c>
      <c r="H357" t="s">
        <v>1909</v>
      </c>
    </row>
    <row r="358" spans="1:8" ht="58">
      <c r="A358" s="103" t="s">
        <v>1917</v>
      </c>
      <c r="B358" s="103" t="str">
        <f t="shared" si="5"/>
        <v>DD</v>
      </c>
      <c r="C358" s="99">
        <v>1</v>
      </c>
      <c r="D358" s="100" t="s">
        <v>1424</v>
      </c>
      <c r="E358" s="101" t="s">
        <v>1918</v>
      </c>
      <c r="F358" s="102" t="s">
        <v>27</v>
      </c>
      <c r="G358" s="100" t="s">
        <v>12</v>
      </c>
      <c r="H358" t="s">
        <v>1919</v>
      </c>
    </row>
    <row r="359" spans="1:8" ht="58">
      <c r="A359" s="103" t="s">
        <v>1917</v>
      </c>
      <c r="B359" s="103" t="str">
        <f t="shared" si="5"/>
        <v>DD</v>
      </c>
      <c r="C359" s="99">
        <v>1</v>
      </c>
      <c r="D359" s="100" t="s">
        <v>1427</v>
      </c>
      <c r="E359" s="101" t="s">
        <v>1920</v>
      </c>
      <c r="F359" s="102" t="s">
        <v>27</v>
      </c>
      <c r="G359" s="100" t="s">
        <v>12</v>
      </c>
      <c r="H359" t="s">
        <v>1919</v>
      </c>
    </row>
    <row r="360" spans="1:8" ht="58">
      <c r="A360" s="103" t="s">
        <v>1917</v>
      </c>
      <c r="B360" s="103" t="str">
        <f t="shared" si="5"/>
        <v>DD</v>
      </c>
      <c r="C360" s="99">
        <v>1</v>
      </c>
      <c r="D360" s="100" t="s">
        <v>1429</v>
      </c>
      <c r="E360" s="101" t="s">
        <v>1921</v>
      </c>
      <c r="F360" s="102" t="s">
        <v>27</v>
      </c>
      <c r="G360" s="100" t="s">
        <v>12</v>
      </c>
      <c r="H360" t="s">
        <v>1919</v>
      </c>
    </row>
    <row r="361" spans="1:8" ht="58">
      <c r="A361" s="103" t="s">
        <v>1917</v>
      </c>
      <c r="B361" s="103" t="str">
        <f t="shared" si="5"/>
        <v>DD</v>
      </c>
      <c r="C361" s="99">
        <v>1</v>
      </c>
      <c r="D361" s="100" t="s">
        <v>1431</v>
      </c>
      <c r="E361" s="101" t="s">
        <v>1922</v>
      </c>
      <c r="F361" s="102" t="s">
        <v>27</v>
      </c>
      <c r="G361" s="100" t="s">
        <v>12</v>
      </c>
      <c r="H361" t="s">
        <v>1919</v>
      </c>
    </row>
    <row r="362" spans="1:8" ht="58">
      <c r="A362" s="103" t="s">
        <v>1917</v>
      </c>
      <c r="B362" s="103" t="str">
        <f t="shared" si="5"/>
        <v>DD</v>
      </c>
      <c r="C362" s="99">
        <v>1</v>
      </c>
      <c r="D362" s="100" t="s">
        <v>1433</v>
      </c>
      <c r="E362" s="101" t="s">
        <v>1923</v>
      </c>
      <c r="F362" s="102" t="s">
        <v>27</v>
      </c>
      <c r="G362" s="100" t="s">
        <v>12</v>
      </c>
      <c r="H362" t="s">
        <v>1919</v>
      </c>
    </row>
    <row r="363" spans="1:8" ht="58">
      <c r="A363" s="103" t="s">
        <v>1917</v>
      </c>
      <c r="B363" s="103" t="str">
        <f t="shared" si="5"/>
        <v>DD</v>
      </c>
      <c r="C363" s="99">
        <v>1</v>
      </c>
      <c r="D363" s="100" t="s">
        <v>1435</v>
      </c>
      <c r="E363" s="101" t="s">
        <v>1924</v>
      </c>
      <c r="F363" s="102" t="s">
        <v>27</v>
      </c>
      <c r="G363" s="100" t="s">
        <v>12</v>
      </c>
      <c r="H363" t="s">
        <v>1919</v>
      </c>
    </row>
    <row r="364" spans="1:8" ht="58">
      <c r="A364" s="103" t="s">
        <v>1917</v>
      </c>
      <c r="B364" s="103" t="str">
        <f t="shared" si="5"/>
        <v>DD</v>
      </c>
      <c r="C364" s="99">
        <v>1</v>
      </c>
      <c r="D364" s="100" t="s">
        <v>1437</v>
      </c>
      <c r="E364" s="101" t="s">
        <v>1925</v>
      </c>
      <c r="F364" s="102" t="s">
        <v>27</v>
      </c>
      <c r="G364" s="100" t="s">
        <v>12</v>
      </c>
      <c r="H364" t="s">
        <v>1919</v>
      </c>
    </row>
    <row r="365" spans="1:8" ht="58">
      <c r="A365" s="103" t="s">
        <v>1917</v>
      </c>
      <c r="B365" s="103" t="str">
        <f t="shared" si="5"/>
        <v>DD</v>
      </c>
      <c r="C365" s="99">
        <v>1</v>
      </c>
      <c r="D365" s="100" t="s">
        <v>1439</v>
      </c>
      <c r="E365" s="101" t="s">
        <v>1926</v>
      </c>
      <c r="F365" s="102" t="s">
        <v>27</v>
      </c>
      <c r="G365" s="100" t="s">
        <v>12</v>
      </c>
      <c r="H365" t="s">
        <v>1919</v>
      </c>
    </row>
    <row r="366" spans="1:8" ht="58">
      <c r="A366" s="103" t="s">
        <v>1927</v>
      </c>
      <c r="B366" s="103" t="str">
        <f t="shared" si="5"/>
        <v>DE</v>
      </c>
      <c r="C366" s="99">
        <v>1</v>
      </c>
      <c r="D366" s="100" t="s">
        <v>1424</v>
      </c>
      <c r="E366" s="101" t="s">
        <v>1928</v>
      </c>
      <c r="F366" s="102" t="s">
        <v>27</v>
      </c>
      <c r="G366" s="100" t="s">
        <v>12</v>
      </c>
      <c r="H366" t="s">
        <v>1929</v>
      </c>
    </row>
    <row r="367" spans="1:8" ht="58">
      <c r="A367" s="103" t="s">
        <v>1927</v>
      </c>
      <c r="B367" s="103" t="str">
        <f t="shared" si="5"/>
        <v>DE</v>
      </c>
      <c r="C367" s="99">
        <v>1</v>
      </c>
      <c r="D367" s="100" t="s">
        <v>1427</v>
      </c>
      <c r="E367" s="101" t="s">
        <v>1930</v>
      </c>
      <c r="F367" s="102" t="s">
        <v>27</v>
      </c>
      <c r="G367" s="100" t="s">
        <v>12</v>
      </c>
      <c r="H367" t="s">
        <v>1929</v>
      </c>
    </row>
    <row r="368" spans="1:8" ht="58">
      <c r="A368" s="103" t="s">
        <v>1927</v>
      </c>
      <c r="B368" s="103" t="str">
        <f t="shared" si="5"/>
        <v>DE</v>
      </c>
      <c r="C368" s="99">
        <v>1</v>
      </c>
      <c r="D368" s="100" t="s">
        <v>1429</v>
      </c>
      <c r="E368" s="101" t="s">
        <v>1931</v>
      </c>
      <c r="F368" s="102" t="s">
        <v>27</v>
      </c>
      <c r="G368" s="100" t="s">
        <v>12</v>
      </c>
      <c r="H368" t="s">
        <v>1929</v>
      </c>
    </row>
    <row r="369" spans="1:8" ht="58">
      <c r="A369" s="103" t="s">
        <v>1927</v>
      </c>
      <c r="B369" s="103" t="str">
        <f t="shared" si="5"/>
        <v>DE</v>
      </c>
      <c r="C369" s="99">
        <v>1</v>
      </c>
      <c r="D369" s="100" t="s">
        <v>1431</v>
      </c>
      <c r="E369" s="101" t="s">
        <v>1932</v>
      </c>
      <c r="F369" s="102" t="s">
        <v>27</v>
      </c>
      <c r="G369" s="100" t="s">
        <v>12</v>
      </c>
      <c r="H369" t="s">
        <v>1929</v>
      </c>
    </row>
    <row r="370" spans="1:8" ht="58">
      <c r="A370" s="103" t="s">
        <v>1927</v>
      </c>
      <c r="B370" s="103" t="str">
        <f t="shared" si="5"/>
        <v>DE</v>
      </c>
      <c r="C370" s="99">
        <v>1</v>
      </c>
      <c r="D370" s="100" t="s">
        <v>1433</v>
      </c>
      <c r="E370" s="101" t="s">
        <v>1933</v>
      </c>
      <c r="F370" s="102" t="s">
        <v>27</v>
      </c>
      <c r="G370" s="100" t="s">
        <v>12</v>
      </c>
      <c r="H370" t="s">
        <v>1929</v>
      </c>
    </row>
    <row r="371" spans="1:8" ht="58">
      <c r="A371" s="103" t="s">
        <v>1927</v>
      </c>
      <c r="B371" s="103" t="str">
        <f t="shared" si="5"/>
        <v>DE</v>
      </c>
      <c r="C371" s="99">
        <v>1</v>
      </c>
      <c r="D371" s="100" t="s">
        <v>1435</v>
      </c>
      <c r="E371" s="101" t="s">
        <v>1934</v>
      </c>
      <c r="F371" s="102" t="s">
        <v>27</v>
      </c>
      <c r="G371" s="100" t="s">
        <v>12</v>
      </c>
      <c r="H371" t="s">
        <v>1929</v>
      </c>
    </row>
    <row r="372" spans="1:8" ht="58">
      <c r="A372" s="103" t="s">
        <v>1927</v>
      </c>
      <c r="B372" s="103" t="str">
        <f t="shared" si="5"/>
        <v>DE</v>
      </c>
      <c r="C372" s="99">
        <v>1</v>
      </c>
      <c r="D372" s="100" t="s">
        <v>1437</v>
      </c>
      <c r="E372" s="101" t="s">
        <v>1935</v>
      </c>
      <c r="F372" s="102" t="s">
        <v>27</v>
      </c>
      <c r="G372" s="100" t="s">
        <v>12</v>
      </c>
      <c r="H372" t="s">
        <v>1929</v>
      </c>
    </row>
    <row r="373" spans="1:8" ht="58">
      <c r="A373" s="103" t="s">
        <v>1927</v>
      </c>
      <c r="B373" s="103" t="str">
        <f t="shared" si="5"/>
        <v>DE</v>
      </c>
      <c r="C373" s="99">
        <v>1</v>
      </c>
      <c r="D373" s="100" t="s">
        <v>1439</v>
      </c>
      <c r="E373" s="101" t="s">
        <v>1936</v>
      </c>
      <c r="F373" s="102" t="s">
        <v>27</v>
      </c>
      <c r="G373" s="100" t="s">
        <v>12</v>
      </c>
      <c r="H373" t="s">
        <v>1929</v>
      </c>
    </row>
    <row r="374" spans="1:8" ht="58">
      <c r="A374" s="103" t="s">
        <v>1937</v>
      </c>
      <c r="B374" s="103" t="str">
        <f t="shared" si="5"/>
        <v>DF</v>
      </c>
      <c r="C374" s="99">
        <v>1</v>
      </c>
      <c r="D374" s="100" t="s">
        <v>1424</v>
      </c>
      <c r="E374" s="101" t="s">
        <v>1938</v>
      </c>
      <c r="F374" s="102" t="s">
        <v>27</v>
      </c>
      <c r="G374" s="100" t="s">
        <v>12</v>
      </c>
      <c r="H374" t="s">
        <v>1939</v>
      </c>
    </row>
    <row r="375" spans="1:8" ht="58">
      <c r="A375" s="103" t="s">
        <v>1937</v>
      </c>
      <c r="B375" s="103" t="str">
        <f t="shared" si="5"/>
        <v>DF</v>
      </c>
      <c r="C375" s="99">
        <v>1</v>
      </c>
      <c r="D375" s="100" t="s">
        <v>1427</v>
      </c>
      <c r="E375" s="101" t="s">
        <v>1940</v>
      </c>
      <c r="F375" s="102" t="s">
        <v>27</v>
      </c>
      <c r="G375" s="100" t="s">
        <v>12</v>
      </c>
      <c r="H375" t="s">
        <v>1939</v>
      </c>
    </row>
    <row r="376" spans="1:8" ht="58">
      <c r="A376" s="103" t="s">
        <v>1937</v>
      </c>
      <c r="B376" s="103" t="str">
        <f t="shared" si="5"/>
        <v>DF</v>
      </c>
      <c r="C376" s="99">
        <v>1</v>
      </c>
      <c r="D376" s="100" t="s">
        <v>1429</v>
      </c>
      <c r="E376" s="101" t="s">
        <v>1941</v>
      </c>
      <c r="F376" s="102" t="s">
        <v>27</v>
      </c>
      <c r="G376" s="100" t="s">
        <v>12</v>
      </c>
      <c r="H376" t="s">
        <v>1939</v>
      </c>
    </row>
    <row r="377" spans="1:8" ht="58">
      <c r="A377" s="103" t="s">
        <v>1937</v>
      </c>
      <c r="B377" s="103" t="str">
        <f t="shared" si="5"/>
        <v>DF</v>
      </c>
      <c r="C377" s="99">
        <v>1</v>
      </c>
      <c r="D377" s="100" t="s">
        <v>1431</v>
      </c>
      <c r="E377" s="101" t="s">
        <v>1942</v>
      </c>
      <c r="F377" s="102" t="s">
        <v>27</v>
      </c>
      <c r="G377" s="100" t="s">
        <v>12</v>
      </c>
      <c r="H377" t="s">
        <v>1939</v>
      </c>
    </row>
    <row r="378" spans="1:8" ht="58">
      <c r="A378" s="103" t="s">
        <v>1937</v>
      </c>
      <c r="B378" s="103" t="str">
        <f t="shared" si="5"/>
        <v>DF</v>
      </c>
      <c r="C378" s="99">
        <v>1</v>
      </c>
      <c r="D378" s="100" t="s">
        <v>1433</v>
      </c>
      <c r="E378" s="101" t="s">
        <v>1943</v>
      </c>
      <c r="F378" s="102" t="s">
        <v>27</v>
      </c>
      <c r="G378" s="100" t="s">
        <v>12</v>
      </c>
      <c r="H378" t="s">
        <v>1939</v>
      </c>
    </row>
    <row r="379" spans="1:8" ht="58">
      <c r="A379" s="103" t="s">
        <v>1937</v>
      </c>
      <c r="B379" s="103" t="str">
        <f t="shared" si="5"/>
        <v>DF</v>
      </c>
      <c r="C379" s="99">
        <v>1</v>
      </c>
      <c r="D379" s="100" t="s">
        <v>1435</v>
      </c>
      <c r="E379" s="101" t="s">
        <v>1944</v>
      </c>
      <c r="F379" s="102" t="s">
        <v>27</v>
      </c>
      <c r="G379" s="100" t="s">
        <v>12</v>
      </c>
      <c r="H379" t="s">
        <v>1939</v>
      </c>
    </row>
    <row r="380" spans="1:8" ht="58">
      <c r="A380" s="103" t="s">
        <v>1937</v>
      </c>
      <c r="B380" s="103" t="str">
        <f t="shared" si="5"/>
        <v>DF</v>
      </c>
      <c r="C380" s="99">
        <v>1</v>
      </c>
      <c r="D380" s="100" t="s">
        <v>1437</v>
      </c>
      <c r="E380" s="101" t="s">
        <v>1945</v>
      </c>
      <c r="F380" s="102" t="s">
        <v>27</v>
      </c>
      <c r="G380" s="100" t="s">
        <v>12</v>
      </c>
      <c r="H380" t="s">
        <v>1939</v>
      </c>
    </row>
    <row r="381" spans="1:8" ht="58">
      <c r="A381" s="103" t="s">
        <v>1937</v>
      </c>
      <c r="B381" s="103" t="str">
        <f t="shared" si="5"/>
        <v>DF</v>
      </c>
      <c r="C381" s="99">
        <v>1</v>
      </c>
      <c r="D381" s="100" t="s">
        <v>1439</v>
      </c>
      <c r="E381" s="101" t="s">
        <v>1946</v>
      </c>
      <c r="F381" s="102" t="s">
        <v>27</v>
      </c>
      <c r="G381" s="100" t="s">
        <v>12</v>
      </c>
      <c r="H381" t="s">
        <v>1939</v>
      </c>
    </row>
    <row r="382" spans="1:8" ht="58">
      <c r="A382" s="103" t="s">
        <v>1947</v>
      </c>
      <c r="B382" s="103" t="str">
        <f t="shared" si="5"/>
        <v>E0</v>
      </c>
      <c r="C382" s="99">
        <v>1</v>
      </c>
      <c r="D382" s="100" t="s">
        <v>1424</v>
      </c>
      <c r="E382" s="101" t="s">
        <v>1948</v>
      </c>
      <c r="F382" s="102" t="s">
        <v>27</v>
      </c>
      <c r="G382" s="100" t="s">
        <v>12</v>
      </c>
      <c r="H382" t="s">
        <v>1949</v>
      </c>
    </row>
    <row r="383" spans="1:8" ht="58">
      <c r="A383" s="103" t="s">
        <v>1947</v>
      </c>
      <c r="B383" s="103" t="str">
        <f t="shared" si="5"/>
        <v>E0</v>
      </c>
      <c r="C383" s="99">
        <v>1</v>
      </c>
      <c r="D383" s="100" t="s">
        <v>1427</v>
      </c>
      <c r="E383" s="101" t="s">
        <v>1950</v>
      </c>
      <c r="F383" s="102" t="s">
        <v>27</v>
      </c>
      <c r="G383" s="100" t="s">
        <v>12</v>
      </c>
      <c r="H383" t="s">
        <v>1949</v>
      </c>
    </row>
    <row r="384" spans="1:8" ht="58">
      <c r="A384" s="103" t="s">
        <v>1947</v>
      </c>
      <c r="B384" s="103" t="str">
        <f t="shared" si="5"/>
        <v>E0</v>
      </c>
      <c r="C384" s="99">
        <v>1</v>
      </c>
      <c r="D384" s="100" t="s">
        <v>1429</v>
      </c>
      <c r="E384" s="101" t="s">
        <v>1951</v>
      </c>
      <c r="F384" s="102" t="s">
        <v>27</v>
      </c>
      <c r="G384" s="100" t="s">
        <v>12</v>
      </c>
      <c r="H384" t="s">
        <v>1949</v>
      </c>
    </row>
    <row r="385" spans="1:8" ht="58">
      <c r="A385" s="103" t="s">
        <v>1947</v>
      </c>
      <c r="B385" s="103" t="str">
        <f t="shared" si="5"/>
        <v>E0</v>
      </c>
      <c r="C385" s="99">
        <v>1</v>
      </c>
      <c r="D385" s="100" t="s">
        <v>1431</v>
      </c>
      <c r="E385" s="101" t="s">
        <v>1952</v>
      </c>
      <c r="F385" s="102" t="s">
        <v>27</v>
      </c>
      <c r="G385" s="100" t="s">
        <v>12</v>
      </c>
      <c r="H385" t="s">
        <v>1949</v>
      </c>
    </row>
    <row r="386" spans="1:8" ht="58">
      <c r="A386" s="103" t="s">
        <v>1947</v>
      </c>
      <c r="B386" s="103" t="str">
        <f t="shared" ref="B386:B449" si="6">DEC2HEX(A386, 2)</f>
        <v>E0</v>
      </c>
      <c r="C386" s="99">
        <v>1</v>
      </c>
      <c r="D386" s="100" t="s">
        <v>1433</v>
      </c>
      <c r="E386" s="101" t="s">
        <v>1953</v>
      </c>
      <c r="F386" s="102" t="s">
        <v>27</v>
      </c>
      <c r="G386" s="100" t="s">
        <v>12</v>
      </c>
      <c r="H386" t="s">
        <v>1949</v>
      </c>
    </row>
    <row r="387" spans="1:8" ht="58">
      <c r="A387" s="103" t="s">
        <v>1947</v>
      </c>
      <c r="B387" s="103" t="str">
        <f t="shared" si="6"/>
        <v>E0</v>
      </c>
      <c r="C387" s="99">
        <v>1</v>
      </c>
      <c r="D387" s="100" t="s">
        <v>1435</v>
      </c>
      <c r="E387" s="101" t="s">
        <v>1954</v>
      </c>
      <c r="F387" s="102" t="s">
        <v>27</v>
      </c>
      <c r="G387" s="100" t="s">
        <v>12</v>
      </c>
      <c r="H387" t="s">
        <v>1949</v>
      </c>
    </row>
    <row r="388" spans="1:8" ht="58">
      <c r="A388" s="103" t="s">
        <v>1947</v>
      </c>
      <c r="B388" s="103" t="str">
        <f t="shared" si="6"/>
        <v>E0</v>
      </c>
      <c r="C388" s="99">
        <v>1</v>
      </c>
      <c r="D388" s="100" t="s">
        <v>1437</v>
      </c>
      <c r="E388" s="101" t="s">
        <v>1955</v>
      </c>
      <c r="F388" s="102" t="s">
        <v>27</v>
      </c>
      <c r="G388" s="100" t="s">
        <v>12</v>
      </c>
      <c r="H388" t="s">
        <v>1949</v>
      </c>
    </row>
    <row r="389" spans="1:8" ht="58">
      <c r="A389" s="103" t="s">
        <v>1947</v>
      </c>
      <c r="B389" s="103" t="str">
        <f t="shared" si="6"/>
        <v>E0</v>
      </c>
      <c r="C389" s="99">
        <v>1</v>
      </c>
      <c r="D389" s="100" t="s">
        <v>1439</v>
      </c>
      <c r="E389" s="101" t="s">
        <v>1956</v>
      </c>
      <c r="F389" s="102" t="s">
        <v>27</v>
      </c>
      <c r="G389" s="100" t="s">
        <v>12</v>
      </c>
      <c r="H389" t="s">
        <v>1949</v>
      </c>
    </row>
    <row r="390" spans="1:8" ht="58">
      <c r="A390" s="103" t="s">
        <v>1957</v>
      </c>
      <c r="B390" s="103" t="str">
        <f t="shared" si="6"/>
        <v>E1</v>
      </c>
      <c r="C390" s="99">
        <v>1</v>
      </c>
      <c r="D390" s="100" t="s">
        <v>1424</v>
      </c>
      <c r="E390" s="101" t="s">
        <v>1958</v>
      </c>
      <c r="F390" s="102" t="s">
        <v>27</v>
      </c>
      <c r="G390" s="100" t="s">
        <v>12</v>
      </c>
      <c r="H390" t="s">
        <v>1959</v>
      </c>
    </row>
    <row r="391" spans="1:8" ht="58">
      <c r="A391" s="103" t="s">
        <v>1957</v>
      </c>
      <c r="B391" s="103" t="str">
        <f t="shared" si="6"/>
        <v>E1</v>
      </c>
      <c r="C391" s="99">
        <v>1</v>
      </c>
      <c r="D391" s="100" t="s">
        <v>1427</v>
      </c>
      <c r="E391" s="101" t="s">
        <v>1960</v>
      </c>
      <c r="F391" s="102" t="s">
        <v>27</v>
      </c>
      <c r="G391" s="100" t="s">
        <v>12</v>
      </c>
      <c r="H391" t="s">
        <v>1959</v>
      </c>
    </row>
    <row r="392" spans="1:8" ht="58">
      <c r="A392" s="103" t="s">
        <v>1957</v>
      </c>
      <c r="B392" s="103" t="str">
        <f t="shared" si="6"/>
        <v>E1</v>
      </c>
      <c r="C392" s="99">
        <v>1</v>
      </c>
      <c r="D392" s="100" t="s">
        <v>1429</v>
      </c>
      <c r="E392" s="101" t="s">
        <v>1961</v>
      </c>
      <c r="F392" s="102" t="s">
        <v>27</v>
      </c>
      <c r="G392" s="100" t="s">
        <v>12</v>
      </c>
      <c r="H392" t="s">
        <v>1959</v>
      </c>
    </row>
    <row r="393" spans="1:8" ht="58">
      <c r="A393" s="103" t="s">
        <v>1957</v>
      </c>
      <c r="B393" s="103" t="str">
        <f t="shared" si="6"/>
        <v>E1</v>
      </c>
      <c r="C393" s="99">
        <v>1</v>
      </c>
      <c r="D393" s="100" t="s">
        <v>1431</v>
      </c>
      <c r="E393" s="101" t="s">
        <v>1962</v>
      </c>
      <c r="F393" s="102" t="s">
        <v>27</v>
      </c>
      <c r="G393" s="100" t="s">
        <v>12</v>
      </c>
      <c r="H393" t="s">
        <v>1959</v>
      </c>
    </row>
    <row r="394" spans="1:8" ht="58">
      <c r="A394" s="103" t="s">
        <v>1957</v>
      </c>
      <c r="B394" s="103" t="str">
        <f t="shared" si="6"/>
        <v>E1</v>
      </c>
      <c r="C394" s="99">
        <v>1</v>
      </c>
      <c r="D394" s="100" t="s">
        <v>1433</v>
      </c>
      <c r="E394" s="101" t="s">
        <v>1963</v>
      </c>
      <c r="F394" s="102" t="s">
        <v>27</v>
      </c>
      <c r="G394" s="100" t="s">
        <v>12</v>
      </c>
      <c r="H394" t="s">
        <v>1959</v>
      </c>
    </row>
    <row r="395" spans="1:8" ht="58">
      <c r="A395" s="103" t="s">
        <v>1957</v>
      </c>
      <c r="B395" s="103" t="str">
        <f t="shared" si="6"/>
        <v>E1</v>
      </c>
      <c r="C395" s="99">
        <v>1</v>
      </c>
      <c r="D395" s="100" t="s">
        <v>1435</v>
      </c>
      <c r="E395" s="101" t="s">
        <v>1964</v>
      </c>
      <c r="F395" s="102" t="s">
        <v>27</v>
      </c>
      <c r="G395" s="100" t="s">
        <v>12</v>
      </c>
      <c r="H395" t="s">
        <v>1959</v>
      </c>
    </row>
    <row r="396" spans="1:8" ht="58">
      <c r="A396" s="103" t="s">
        <v>1957</v>
      </c>
      <c r="B396" s="103" t="str">
        <f t="shared" si="6"/>
        <v>E1</v>
      </c>
      <c r="C396" s="99">
        <v>1</v>
      </c>
      <c r="D396" s="100" t="s">
        <v>1437</v>
      </c>
      <c r="E396" s="101" t="s">
        <v>1965</v>
      </c>
      <c r="F396" s="102" t="s">
        <v>27</v>
      </c>
      <c r="G396" s="100" t="s">
        <v>12</v>
      </c>
      <c r="H396" t="s">
        <v>1959</v>
      </c>
    </row>
    <row r="397" spans="1:8" ht="58">
      <c r="A397" s="103" t="s">
        <v>1957</v>
      </c>
      <c r="B397" s="103" t="str">
        <f t="shared" si="6"/>
        <v>E1</v>
      </c>
      <c r="C397" s="99">
        <v>1</v>
      </c>
      <c r="D397" s="100" t="s">
        <v>1439</v>
      </c>
      <c r="E397" s="101" t="s">
        <v>1966</v>
      </c>
      <c r="F397" s="102" t="s">
        <v>27</v>
      </c>
      <c r="G397" s="100" t="s">
        <v>12</v>
      </c>
      <c r="H397" t="s">
        <v>1959</v>
      </c>
    </row>
    <row r="398" spans="1:8" ht="29">
      <c r="A398" s="103" t="s">
        <v>1967</v>
      </c>
      <c r="B398" s="103" t="str">
        <f t="shared" si="6"/>
        <v>E2</v>
      </c>
      <c r="C398" s="99">
        <v>1</v>
      </c>
      <c r="D398" s="100" t="s">
        <v>1424</v>
      </c>
      <c r="E398" s="101" t="s">
        <v>1968</v>
      </c>
      <c r="F398" s="102" t="s">
        <v>27</v>
      </c>
      <c r="G398" s="100" t="s">
        <v>12</v>
      </c>
      <c r="H398" t="s">
        <v>1969</v>
      </c>
    </row>
    <row r="399" spans="1:8" ht="29">
      <c r="A399" s="103" t="s">
        <v>1967</v>
      </c>
      <c r="B399" s="103" t="str">
        <f t="shared" si="6"/>
        <v>E2</v>
      </c>
      <c r="C399" s="99">
        <v>1</v>
      </c>
      <c r="D399" s="100" t="s">
        <v>1427</v>
      </c>
      <c r="E399" s="101" t="s">
        <v>1970</v>
      </c>
      <c r="F399" s="102" t="s">
        <v>27</v>
      </c>
      <c r="G399" s="100" t="s">
        <v>12</v>
      </c>
      <c r="H399" t="s">
        <v>1969</v>
      </c>
    </row>
    <row r="400" spans="1:8" ht="29">
      <c r="A400" s="103" t="s">
        <v>1967</v>
      </c>
      <c r="B400" s="103" t="str">
        <f t="shared" si="6"/>
        <v>E2</v>
      </c>
      <c r="C400" s="99">
        <v>1</v>
      </c>
      <c r="D400" s="100" t="s">
        <v>1429</v>
      </c>
      <c r="E400" s="101" t="s">
        <v>1971</v>
      </c>
      <c r="F400" s="102" t="s">
        <v>27</v>
      </c>
      <c r="G400" s="100" t="s">
        <v>12</v>
      </c>
      <c r="H400" t="s">
        <v>1969</v>
      </c>
    </row>
    <row r="401" spans="1:8" ht="29">
      <c r="A401" s="103" t="s">
        <v>1967</v>
      </c>
      <c r="B401" s="103" t="str">
        <f t="shared" si="6"/>
        <v>E2</v>
      </c>
      <c r="C401" s="99">
        <v>1</v>
      </c>
      <c r="D401" s="100" t="s">
        <v>1431</v>
      </c>
      <c r="E401" s="101" t="s">
        <v>1972</v>
      </c>
      <c r="F401" s="102" t="s">
        <v>27</v>
      </c>
      <c r="G401" s="100" t="s">
        <v>12</v>
      </c>
      <c r="H401" t="s">
        <v>1969</v>
      </c>
    </row>
    <row r="402" spans="1:8" ht="29">
      <c r="A402" s="103" t="s">
        <v>1967</v>
      </c>
      <c r="B402" s="103" t="str">
        <f t="shared" si="6"/>
        <v>E2</v>
      </c>
      <c r="C402" s="99">
        <v>1</v>
      </c>
      <c r="D402" s="100" t="s">
        <v>1433</v>
      </c>
      <c r="E402" s="101" t="s">
        <v>1973</v>
      </c>
      <c r="F402" s="102" t="s">
        <v>27</v>
      </c>
      <c r="G402" s="100" t="s">
        <v>12</v>
      </c>
      <c r="H402" t="s">
        <v>1969</v>
      </c>
    </row>
    <row r="403" spans="1:8" ht="29">
      <c r="A403" s="103" t="s">
        <v>1967</v>
      </c>
      <c r="B403" s="103" t="str">
        <f t="shared" si="6"/>
        <v>E2</v>
      </c>
      <c r="C403" s="99">
        <v>1</v>
      </c>
      <c r="D403" s="100" t="s">
        <v>1435</v>
      </c>
      <c r="E403" s="101" t="s">
        <v>1974</v>
      </c>
      <c r="F403" s="102" t="s">
        <v>27</v>
      </c>
      <c r="G403" s="100" t="s">
        <v>12</v>
      </c>
      <c r="H403" t="s">
        <v>1969</v>
      </c>
    </row>
    <row r="404" spans="1:8" ht="29">
      <c r="A404" s="103" t="s">
        <v>1967</v>
      </c>
      <c r="B404" s="103" t="str">
        <f t="shared" si="6"/>
        <v>E2</v>
      </c>
      <c r="C404" s="99">
        <v>1</v>
      </c>
      <c r="D404" s="100" t="s">
        <v>1437</v>
      </c>
      <c r="E404" s="101" t="s">
        <v>1975</v>
      </c>
      <c r="F404" s="102" t="s">
        <v>27</v>
      </c>
      <c r="G404" s="100" t="s">
        <v>12</v>
      </c>
      <c r="H404" t="s">
        <v>1969</v>
      </c>
    </row>
    <row r="405" spans="1:8" ht="29">
      <c r="A405" s="103" t="s">
        <v>1967</v>
      </c>
      <c r="B405" s="103" t="str">
        <f t="shared" si="6"/>
        <v>E2</v>
      </c>
      <c r="C405" s="99">
        <v>1</v>
      </c>
      <c r="D405" s="100" t="s">
        <v>1439</v>
      </c>
      <c r="E405" s="101" t="s">
        <v>1976</v>
      </c>
      <c r="F405" s="102" t="s">
        <v>27</v>
      </c>
      <c r="G405" s="100" t="s">
        <v>12</v>
      </c>
      <c r="H405" t="s">
        <v>1969</v>
      </c>
    </row>
    <row r="406" spans="1:8" ht="29">
      <c r="A406" s="103" t="s">
        <v>1977</v>
      </c>
      <c r="B406" s="103" t="str">
        <f t="shared" si="6"/>
        <v>E3</v>
      </c>
      <c r="C406" s="99">
        <v>1</v>
      </c>
      <c r="D406" s="100" t="s">
        <v>1424</v>
      </c>
      <c r="E406" s="101" t="s">
        <v>1978</v>
      </c>
      <c r="F406" s="102" t="s">
        <v>27</v>
      </c>
      <c r="G406" s="100" t="s">
        <v>12</v>
      </c>
      <c r="H406" t="s">
        <v>1979</v>
      </c>
    </row>
    <row r="407" spans="1:8" ht="29">
      <c r="A407" s="103" t="s">
        <v>1977</v>
      </c>
      <c r="B407" s="103" t="str">
        <f t="shared" si="6"/>
        <v>E3</v>
      </c>
      <c r="C407" s="99">
        <v>1</v>
      </c>
      <c r="D407" s="100" t="s">
        <v>1427</v>
      </c>
      <c r="E407" s="101" t="s">
        <v>1980</v>
      </c>
      <c r="F407" s="102" t="s">
        <v>27</v>
      </c>
      <c r="G407" s="100" t="s">
        <v>12</v>
      </c>
      <c r="H407" t="s">
        <v>1979</v>
      </c>
    </row>
    <row r="408" spans="1:8" ht="29">
      <c r="A408" s="103" t="s">
        <v>1977</v>
      </c>
      <c r="B408" s="103" t="str">
        <f t="shared" si="6"/>
        <v>E3</v>
      </c>
      <c r="C408" s="99">
        <v>1</v>
      </c>
      <c r="D408" s="100" t="s">
        <v>1429</v>
      </c>
      <c r="E408" s="101" t="s">
        <v>1981</v>
      </c>
      <c r="F408" s="102" t="s">
        <v>27</v>
      </c>
      <c r="G408" s="100" t="s">
        <v>12</v>
      </c>
      <c r="H408" t="s">
        <v>1979</v>
      </c>
    </row>
    <row r="409" spans="1:8" ht="29">
      <c r="A409" s="103" t="s">
        <v>1977</v>
      </c>
      <c r="B409" s="103" t="str">
        <f t="shared" si="6"/>
        <v>E3</v>
      </c>
      <c r="C409" s="99">
        <v>1</v>
      </c>
      <c r="D409" s="100" t="s">
        <v>1431</v>
      </c>
      <c r="E409" s="101" t="s">
        <v>1982</v>
      </c>
      <c r="F409" s="102" t="s">
        <v>27</v>
      </c>
      <c r="G409" s="100" t="s">
        <v>12</v>
      </c>
      <c r="H409" t="s">
        <v>1979</v>
      </c>
    </row>
    <row r="410" spans="1:8" ht="29">
      <c r="A410" s="103" t="s">
        <v>1977</v>
      </c>
      <c r="B410" s="103" t="str">
        <f t="shared" si="6"/>
        <v>E3</v>
      </c>
      <c r="C410" s="99">
        <v>1</v>
      </c>
      <c r="D410" s="100" t="s">
        <v>1433</v>
      </c>
      <c r="E410" s="101" t="s">
        <v>1983</v>
      </c>
      <c r="F410" s="102" t="s">
        <v>27</v>
      </c>
      <c r="G410" s="100" t="s">
        <v>12</v>
      </c>
      <c r="H410" t="s">
        <v>1979</v>
      </c>
    </row>
    <row r="411" spans="1:8" ht="29">
      <c r="A411" s="103" t="s">
        <v>1977</v>
      </c>
      <c r="B411" s="103" t="str">
        <f t="shared" si="6"/>
        <v>E3</v>
      </c>
      <c r="C411" s="99">
        <v>1</v>
      </c>
      <c r="D411" s="100" t="s">
        <v>1435</v>
      </c>
      <c r="E411" s="101" t="s">
        <v>1984</v>
      </c>
      <c r="F411" s="102" t="s">
        <v>27</v>
      </c>
      <c r="G411" s="100" t="s">
        <v>12</v>
      </c>
      <c r="H411" t="s">
        <v>1979</v>
      </c>
    </row>
    <row r="412" spans="1:8" ht="29">
      <c r="A412" s="103" t="s">
        <v>1977</v>
      </c>
      <c r="B412" s="103" t="str">
        <f t="shared" si="6"/>
        <v>E3</v>
      </c>
      <c r="C412" s="99">
        <v>1</v>
      </c>
      <c r="D412" s="100" t="s">
        <v>1437</v>
      </c>
      <c r="E412" s="101" t="s">
        <v>1985</v>
      </c>
      <c r="F412" s="102" t="s">
        <v>27</v>
      </c>
      <c r="G412" s="100" t="s">
        <v>12</v>
      </c>
      <c r="H412" t="s">
        <v>1979</v>
      </c>
    </row>
    <row r="413" spans="1:8" ht="29">
      <c r="A413" s="103" t="s">
        <v>1977</v>
      </c>
      <c r="B413" s="103" t="str">
        <f t="shared" si="6"/>
        <v>E3</v>
      </c>
      <c r="C413" s="99">
        <v>1</v>
      </c>
      <c r="D413" s="100" t="s">
        <v>1439</v>
      </c>
      <c r="E413" s="101" t="s">
        <v>1986</v>
      </c>
      <c r="F413" s="102" t="s">
        <v>27</v>
      </c>
      <c r="G413" s="100" t="s">
        <v>12</v>
      </c>
      <c r="H413" t="s">
        <v>1979</v>
      </c>
    </row>
    <row r="414" spans="1:8" ht="58">
      <c r="A414" s="103" t="s">
        <v>1987</v>
      </c>
      <c r="B414" s="103" t="str">
        <f t="shared" si="6"/>
        <v>E4</v>
      </c>
      <c r="C414" s="99">
        <v>1</v>
      </c>
      <c r="D414" s="100" t="s">
        <v>1424</v>
      </c>
      <c r="E414" s="101" t="s">
        <v>1988</v>
      </c>
      <c r="F414" s="102" t="s">
        <v>27</v>
      </c>
      <c r="G414" s="100" t="s">
        <v>12</v>
      </c>
      <c r="H414" t="s">
        <v>1989</v>
      </c>
    </row>
    <row r="415" spans="1:8" ht="58">
      <c r="A415" s="103" t="s">
        <v>1987</v>
      </c>
      <c r="B415" s="103" t="str">
        <f t="shared" si="6"/>
        <v>E4</v>
      </c>
      <c r="C415" s="99">
        <v>1</v>
      </c>
      <c r="D415" s="100" t="s">
        <v>1427</v>
      </c>
      <c r="E415" s="101" t="s">
        <v>1990</v>
      </c>
      <c r="F415" s="102" t="s">
        <v>27</v>
      </c>
      <c r="G415" s="100" t="s">
        <v>12</v>
      </c>
      <c r="H415" t="s">
        <v>1989</v>
      </c>
    </row>
    <row r="416" spans="1:8" ht="58">
      <c r="A416" s="103" t="s">
        <v>1987</v>
      </c>
      <c r="B416" s="103" t="str">
        <f t="shared" si="6"/>
        <v>E4</v>
      </c>
      <c r="C416" s="99">
        <v>1</v>
      </c>
      <c r="D416" s="100" t="s">
        <v>1429</v>
      </c>
      <c r="E416" s="101" t="s">
        <v>1991</v>
      </c>
      <c r="F416" s="102" t="s">
        <v>27</v>
      </c>
      <c r="G416" s="100" t="s">
        <v>12</v>
      </c>
      <c r="H416" t="s">
        <v>1989</v>
      </c>
    </row>
    <row r="417" spans="1:8" ht="58">
      <c r="A417" s="103" t="s">
        <v>1987</v>
      </c>
      <c r="B417" s="103" t="str">
        <f t="shared" si="6"/>
        <v>E4</v>
      </c>
      <c r="C417" s="99">
        <v>1</v>
      </c>
      <c r="D417" s="100" t="s">
        <v>1431</v>
      </c>
      <c r="E417" s="101" t="s">
        <v>1992</v>
      </c>
      <c r="F417" s="102" t="s">
        <v>27</v>
      </c>
      <c r="G417" s="100" t="s">
        <v>12</v>
      </c>
      <c r="H417" t="s">
        <v>1989</v>
      </c>
    </row>
    <row r="418" spans="1:8" ht="58">
      <c r="A418" s="103" t="s">
        <v>1987</v>
      </c>
      <c r="B418" s="103" t="str">
        <f t="shared" si="6"/>
        <v>E4</v>
      </c>
      <c r="C418" s="99">
        <v>1</v>
      </c>
      <c r="D418" s="100" t="s">
        <v>1433</v>
      </c>
      <c r="E418" s="101" t="s">
        <v>1993</v>
      </c>
      <c r="F418" s="102" t="s">
        <v>27</v>
      </c>
      <c r="G418" s="100" t="s">
        <v>12</v>
      </c>
      <c r="H418" t="s">
        <v>1989</v>
      </c>
    </row>
    <row r="419" spans="1:8" ht="58">
      <c r="A419" s="103" t="s">
        <v>1987</v>
      </c>
      <c r="B419" s="103" t="str">
        <f t="shared" si="6"/>
        <v>E4</v>
      </c>
      <c r="C419" s="99">
        <v>1</v>
      </c>
      <c r="D419" s="100" t="s">
        <v>1435</v>
      </c>
      <c r="E419" s="101" t="s">
        <v>1994</v>
      </c>
      <c r="F419" s="102" t="s">
        <v>27</v>
      </c>
      <c r="G419" s="100" t="s">
        <v>12</v>
      </c>
      <c r="H419" t="s">
        <v>1989</v>
      </c>
    </row>
    <row r="420" spans="1:8" ht="58">
      <c r="A420" s="103" t="s">
        <v>1987</v>
      </c>
      <c r="B420" s="103" t="str">
        <f t="shared" si="6"/>
        <v>E4</v>
      </c>
      <c r="C420" s="99">
        <v>1</v>
      </c>
      <c r="D420" s="100" t="s">
        <v>1437</v>
      </c>
      <c r="E420" s="101" t="s">
        <v>1995</v>
      </c>
      <c r="F420" s="102" t="s">
        <v>27</v>
      </c>
      <c r="G420" s="100" t="s">
        <v>12</v>
      </c>
      <c r="H420" t="s">
        <v>1989</v>
      </c>
    </row>
    <row r="421" spans="1:8" ht="58">
      <c r="A421" s="103" t="s">
        <v>1987</v>
      </c>
      <c r="B421" s="103" t="str">
        <f t="shared" si="6"/>
        <v>E4</v>
      </c>
      <c r="C421" s="99">
        <v>1</v>
      </c>
      <c r="D421" s="100" t="s">
        <v>1439</v>
      </c>
      <c r="E421" s="101" t="s">
        <v>1996</v>
      </c>
      <c r="F421" s="102" t="s">
        <v>27</v>
      </c>
      <c r="G421" s="100" t="s">
        <v>12</v>
      </c>
      <c r="H421" t="s">
        <v>1989</v>
      </c>
    </row>
    <row r="422" spans="1:8" ht="58">
      <c r="A422" s="103" t="s">
        <v>1997</v>
      </c>
      <c r="B422" s="103" t="str">
        <f t="shared" si="6"/>
        <v>E5</v>
      </c>
      <c r="C422" s="99">
        <v>1</v>
      </c>
      <c r="D422" s="100" t="s">
        <v>1424</v>
      </c>
      <c r="E422" s="101" t="s">
        <v>1998</v>
      </c>
      <c r="F422" s="102" t="s">
        <v>27</v>
      </c>
      <c r="G422" s="100" t="s">
        <v>12</v>
      </c>
      <c r="H422" t="s">
        <v>1999</v>
      </c>
    </row>
    <row r="423" spans="1:8" ht="58">
      <c r="A423" s="103" t="s">
        <v>1997</v>
      </c>
      <c r="B423" s="103" t="str">
        <f t="shared" si="6"/>
        <v>E5</v>
      </c>
      <c r="C423" s="99">
        <v>1</v>
      </c>
      <c r="D423" s="100" t="s">
        <v>1427</v>
      </c>
      <c r="E423" s="101" t="s">
        <v>2000</v>
      </c>
      <c r="F423" s="102" t="s">
        <v>27</v>
      </c>
      <c r="G423" s="100" t="s">
        <v>12</v>
      </c>
      <c r="H423" t="s">
        <v>1999</v>
      </c>
    </row>
    <row r="424" spans="1:8" ht="58">
      <c r="A424" s="103" t="s">
        <v>1997</v>
      </c>
      <c r="B424" s="103" t="str">
        <f t="shared" si="6"/>
        <v>E5</v>
      </c>
      <c r="C424" s="99">
        <v>1</v>
      </c>
      <c r="D424" s="100" t="s">
        <v>1429</v>
      </c>
      <c r="E424" s="101" t="s">
        <v>2001</v>
      </c>
      <c r="F424" s="102" t="s">
        <v>27</v>
      </c>
      <c r="G424" s="100" t="s">
        <v>12</v>
      </c>
      <c r="H424" t="s">
        <v>1999</v>
      </c>
    </row>
    <row r="425" spans="1:8" ht="58">
      <c r="A425" s="103" t="s">
        <v>1997</v>
      </c>
      <c r="B425" s="103" t="str">
        <f t="shared" si="6"/>
        <v>E5</v>
      </c>
      <c r="C425" s="99">
        <v>1</v>
      </c>
      <c r="D425" s="100" t="s">
        <v>1431</v>
      </c>
      <c r="E425" s="101" t="s">
        <v>2002</v>
      </c>
      <c r="F425" s="102" t="s">
        <v>27</v>
      </c>
      <c r="G425" s="100" t="s">
        <v>12</v>
      </c>
      <c r="H425" t="s">
        <v>1999</v>
      </c>
    </row>
    <row r="426" spans="1:8" ht="58">
      <c r="A426" s="103" t="s">
        <v>1997</v>
      </c>
      <c r="B426" s="103" t="str">
        <f t="shared" si="6"/>
        <v>E5</v>
      </c>
      <c r="C426" s="99">
        <v>1</v>
      </c>
      <c r="D426" s="100" t="s">
        <v>1433</v>
      </c>
      <c r="E426" s="101" t="s">
        <v>2003</v>
      </c>
      <c r="F426" s="102" t="s">
        <v>27</v>
      </c>
      <c r="G426" s="100" t="s">
        <v>12</v>
      </c>
      <c r="H426" t="s">
        <v>1999</v>
      </c>
    </row>
    <row r="427" spans="1:8" ht="58">
      <c r="A427" s="103" t="s">
        <v>1997</v>
      </c>
      <c r="B427" s="103" t="str">
        <f t="shared" si="6"/>
        <v>E5</v>
      </c>
      <c r="C427" s="99">
        <v>1</v>
      </c>
      <c r="D427" s="100" t="s">
        <v>1435</v>
      </c>
      <c r="E427" s="101" t="s">
        <v>2004</v>
      </c>
      <c r="F427" s="102" t="s">
        <v>27</v>
      </c>
      <c r="G427" s="100" t="s">
        <v>12</v>
      </c>
      <c r="H427" t="s">
        <v>1999</v>
      </c>
    </row>
    <row r="428" spans="1:8" ht="58">
      <c r="A428" s="103" t="s">
        <v>1997</v>
      </c>
      <c r="B428" s="103" t="str">
        <f t="shared" si="6"/>
        <v>E5</v>
      </c>
      <c r="C428" s="99">
        <v>1</v>
      </c>
      <c r="D428" s="100" t="s">
        <v>1437</v>
      </c>
      <c r="E428" s="101" t="s">
        <v>2005</v>
      </c>
      <c r="F428" s="102" t="s">
        <v>27</v>
      </c>
      <c r="G428" s="100" t="s">
        <v>12</v>
      </c>
      <c r="H428" t="s">
        <v>1999</v>
      </c>
    </row>
    <row r="429" spans="1:8" ht="58">
      <c r="A429" s="103" t="s">
        <v>1997</v>
      </c>
      <c r="B429" s="103" t="str">
        <f t="shared" si="6"/>
        <v>E5</v>
      </c>
      <c r="C429" s="99">
        <v>1</v>
      </c>
      <c r="D429" s="100" t="s">
        <v>1439</v>
      </c>
      <c r="E429" s="101" t="s">
        <v>2006</v>
      </c>
      <c r="F429" s="102" t="s">
        <v>27</v>
      </c>
      <c r="G429" s="100" t="s">
        <v>12</v>
      </c>
      <c r="H429" t="s">
        <v>1999</v>
      </c>
    </row>
    <row r="430" spans="1:8" ht="72.5">
      <c r="A430" s="103" t="s">
        <v>2007</v>
      </c>
      <c r="B430" s="103" t="str">
        <f t="shared" si="6"/>
        <v>E6</v>
      </c>
      <c r="C430" s="99">
        <v>1</v>
      </c>
      <c r="D430" s="100" t="s">
        <v>1424</v>
      </c>
      <c r="E430" s="101" t="s">
        <v>2008</v>
      </c>
      <c r="F430" s="102" t="s">
        <v>27</v>
      </c>
      <c r="G430" s="100" t="s">
        <v>12</v>
      </c>
      <c r="H430" t="s">
        <v>2009</v>
      </c>
    </row>
    <row r="431" spans="1:8" ht="72.5">
      <c r="A431" s="103" t="s">
        <v>2007</v>
      </c>
      <c r="B431" s="103" t="str">
        <f t="shared" si="6"/>
        <v>E6</v>
      </c>
      <c r="C431" s="99">
        <v>1</v>
      </c>
      <c r="D431" s="100" t="s">
        <v>1427</v>
      </c>
      <c r="E431" s="101" t="s">
        <v>2010</v>
      </c>
      <c r="F431" s="102" t="s">
        <v>27</v>
      </c>
      <c r="G431" s="100" t="s">
        <v>12</v>
      </c>
      <c r="H431" t="s">
        <v>2009</v>
      </c>
    </row>
    <row r="432" spans="1:8" ht="72.5">
      <c r="A432" s="103" t="s">
        <v>2007</v>
      </c>
      <c r="B432" s="103" t="str">
        <f t="shared" si="6"/>
        <v>E6</v>
      </c>
      <c r="C432" s="99">
        <v>1</v>
      </c>
      <c r="D432" s="100" t="s">
        <v>1429</v>
      </c>
      <c r="E432" s="101" t="s">
        <v>2011</v>
      </c>
      <c r="F432" s="102" t="s">
        <v>27</v>
      </c>
      <c r="G432" s="100" t="s">
        <v>12</v>
      </c>
      <c r="H432" t="s">
        <v>2009</v>
      </c>
    </row>
    <row r="433" spans="1:8" ht="72.5">
      <c r="A433" s="103" t="s">
        <v>2007</v>
      </c>
      <c r="B433" s="103" t="str">
        <f t="shared" si="6"/>
        <v>E6</v>
      </c>
      <c r="C433" s="99">
        <v>1</v>
      </c>
      <c r="D433" s="100" t="s">
        <v>1431</v>
      </c>
      <c r="E433" s="101" t="s">
        <v>2012</v>
      </c>
      <c r="F433" s="102" t="s">
        <v>27</v>
      </c>
      <c r="G433" s="100" t="s">
        <v>12</v>
      </c>
      <c r="H433" t="s">
        <v>2009</v>
      </c>
    </row>
    <row r="434" spans="1:8" ht="72.5">
      <c r="A434" s="103" t="s">
        <v>2007</v>
      </c>
      <c r="B434" s="103" t="str">
        <f t="shared" si="6"/>
        <v>E6</v>
      </c>
      <c r="C434" s="99">
        <v>1</v>
      </c>
      <c r="D434" s="100" t="s">
        <v>1433</v>
      </c>
      <c r="E434" s="101" t="s">
        <v>2013</v>
      </c>
      <c r="F434" s="102" t="s">
        <v>27</v>
      </c>
      <c r="G434" s="100" t="s">
        <v>12</v>
      </c>
      <c r="H434" t="s">
        <v>2009</v>
      </c>
    </row>
    <row r="435" spans="1:8" ht="72.5">
      <c r="A435" s="103" t="s">
        <v>2007</v>
      </c>
      <c r="B435" s="103" t="str">
        <f t="shared" si="6"/>
        <v>E6</v>
      </c>
      <c r="C435" s="99">
        <v>1</v>
      </c>
      <c r="D435" s="100" t="s">
        <v>1435</v>
      </c>
      <c r="E435" s="101" t="s">
        <v>2014</v>
      </c>
      <c r="F435" s="102" t="s">
        <v>27</v>
      </c>
      <c r="G435" s="100" t="s">
        <v>12</v>
      </c>
      <c r="H435" t="s">
        <v>2009</v>
      </c>
    </row>
    <row r="436" spans="1:8" ht="72.5">
      <c r="A436" s="103" t="s">
        <v>2007</v>
      </c>
      <c r="B436" s="103" t="str">
        <f t="shared" si="6"/>
        <v>E6</v>
      </c>
      <c r="C436" s="99">
        <v>1</v>
      </c>
      <c r="D436" s="100" t="s">
        <v>1437</v>
      </c>
      <c r="E436" s="101" t="s">
        <v>2015</v>
      </c>
      <c r="F436" s="102" t="s">
        <v>27</v>
      </c>
      <c r="G436" s="100" t="s">
        <v>12</v>
      </c>
      <c r="H436" t="s">
        <v>2009</v>
      </c>
    </row>
    <row r="437" spans="1:8" ht="72.5">
      <c r="A437" s="103" t="s">
        <v>2007</v>
      </c>
      <c r="B437" s="103" t="str">
        <f t="shared" si="6"/>
        <v>E6</v>
      </c>
      <c r="C437" s="99">
        <v>1</v>
      </c>
      <c r="D437" s="100" t="s">
        <v>1439</v>
      </c>
      <c r="E437" s="101" t="s">
        <v>2016</v>
      </c>
      <c r="F437" s="102" t="s">
        <v>27</v>
      </c>
      <c r="G437" s="100" t="s">
        <v>12</v>
      </c>
      <c r="H437" t="s">
        <v>2009</v>
      </c>
    </row>
    <row r="438" spans="1:8" ht="58">
      <c r="A438" s="103" t="s">
        <v>2017</v>
      </c>
      <c r="B438" s="103" t="str">
        <f t="shared" si="6"/>
        <v>E7</v>
      </c>
      <c r="C438" s="99">
        <v>1</v>
      </c>
      <c r="D438" s="100" t="s">
        <v>1424</v>
      </c>
      <c r="E438" s="101" t="s">
        <v>2018</v>
      </c>
      <c r="F438" s="102" t="s">
        <v>27</v>
      </c>
      <c r="G438" s="100" t="s">
        <v>12</v>
      </c>
      <c r="H438" t="s">
        <v>2019</v>
      </c>
    </row>
    <row r="439" spans="1:8" ht="58">
      <c r="A439" s="103" t="s">
        <v>2017</v>
      </c>
      <c r="B439" s="103" t="str">
        <f t="shared" si="6"/>
        <v>E7</v>
      </c>
      <c r="C439" s="99">
        <v>1</v>
      </c>
      <c r="D439" s="100" t="s">
        <v>1427</v>
      </c>
      <c r="E439" s="101" t="s">
        <v>2020</v>
      </c>
      <c r="F439" s="102" t="s">
        <v>27</v>
      </c>
      <c r="G439" s="100" t="s">
        <v>12</v>
      </c>
      <c r="H439" t="s">
        <v>2019</v>
      </c>
    </row>
    <row r="440" spans="1:8" ht="58">
      <c r="A440" s="103" t="s">
        <v>2017</v>
      </c>
      <c r="B440" s="103" t="str">
        <f t="shared" si="6"/>
        <v>E7</v>
      </c>
      <c r="C440" s="99">
        <v>1</v>
      </c>
      <c r="D440" s="100" t="s">
        <v>1429</v>
      </c>
      <c r="E440" s="101" t="s">
        <v>2021</v>
      </c>
      <c r="F440" s="102" t="s">
        <v>27</v>
      </c>
      <c r="G440" s="100" t="s">
        <v>12</v>
      </c>
      <c r="H440" t="s">
        <v>2019</v>
      </c>
    </row>
    <row r="441" spans="1:8" ht="58">
      <c r="A441" s="103" t="s">
        <v>2017</v>
      </c>
      <c r="B441" s="103" t="str">
        <f t="shared" si="6"/>
        <v>E7</v>
      </c>
      <c r="C441" s="99">
        <v>1</v>
      </c>
      <c r="D441" s="100" t="s">
        <v>1431</v>
      </c>
      <c r="E441" s="101" t="s">
        <v>2022</v>
      </c>
      <c r="F441" s="102" t="s">
        <v>27</v>
      </c>
      <c r="G441" s="100" t="s">
        <v>12</v>
      </c>
      <c r="H441" t="s">
        <v>2019</v>
      </c>
    </row>
    <row r="442" spans="1:8" ht="58">
      <c r="A442" s="103" t="s">
        <v>2017</v>
      </c>
      <c r="B442" s="103" t="str">
        <f t="shared" si="6"/>
        <v>E7</v>
      </c>
      <c r="C442" s="99">
        <v>1</v>
      </c>
      <c r="D442" s="100" t="s">
        <v>1433</v>
      </c>
      <c r="E442" s="101" t="s">
        <v>2023</v>
      </c>
      <c r="F442" s="102" t="s">
        <v>27</v>
      </c>
      <c r="G442" s="100" t="s">
        <v>12</v>
      </c>
      <c r="H442" t="s">
        <v>2019</v>
      </c>
    </row>
    <row r="443" spans="1:8" ht="58">
      <c r="A443" s="103" t="s">
        <v>2017</v>
      </c>
      <c r="B443" s="103" t="str">
        <f t="shared" si="6"/>
        <v>E7</v>
      </c>
      <c r="C443" s="99">
        <v>1</v>
      </c>
      <c r="D443" s="100" t="s">
        <v>1435</v>
      </c>
      <c r="E443" s="101" t="s">
        <v>2024</v>
      </c>
      <c r="F443" s="102" t="s">
        <v>27</v>
      </c>
      <c r="G443" s="100" t="s">
        <v>12</v>
      </c>
      <c r="H443" t="s">
        <v>2019</v>
      </c>
    </row>
    <row r="444" spans="1:8" ht="58">
      <c r="A444" s="103" t="s">
        <v>2017</v>
      </c>
      <c r="B444" s="103" t="str">
        <f t="shared" si="6"/>
        <v>E7</v>
      </c>
      <c r="C444" s="99">
        <v>1</v>
      </c>
      <c r="D444" s="100" t="s">
        <v>1437</v>
      </c>
      <c r="E444" s="101" t="s">
        <v>2025</v>
      </c>
      <c r="F444" s="102" t="s">
        <v>27</v>
      </c>
      <c r="G444" s="100" t="s">
        <v>12</v>
      </c>
      <c r="H444" t="s">
        <v>2019</v>
      </c>
    </row>
    <row r="445" spans="1:8" ht="58">
      <c r="A445" s="103" t="s">
        <v>2017</v>
      </c>
      <c r="B445" s="103" t="str">
        <f t="shared" si="6"/>
        <v>E7</v>
      </c>
      <c r="C445" s="99">
        <v>1</v>
      </c>
      <c r="D445" s="100" t="s">
        <v>1439</v>
      </c>
      <c r="E445" s="101" t="s">
        <v>2026</v>
      </c>
      <c r="F445" s="102" t="s">
        <v>27</v>
      </c>
      <c r="G445" s="100" t="s">
        <v>12</v>
      </c>
      <c r="H445" t="s">
        <v>2019</v>
      </c>
    </row>
    <row r="446" spans="1:8" ht="58">
      <c r="A446" s="103" t="s">
        <v>2027</v>
      </c>
      <c r="B446" s="103" t="str">
        <f t="shared" si="6"/>
        <v>E8</v>
      </c>
      <c r="C446" s="99">
        <v>1</v>
      </c>
      <c r="D446" s="100" t="s">
        <v>1424</v>
      </c>
      <c r="E446" s="101" t="s">
        <v>2028</v>
      </c>
      <c r="F446" s="102" t="s">
        <v>217</v>
      </c>
      <c r="G446" s="100" t="s">
        <v>12</v>
      </c>
      <c r="H446" t="s">
        <v>2029</v>
      </c>
    </row>
    <row r="447" spans="1:8" ht="58">
      <c r="A447" s="103" t="s">
        <v>2027</v>
      </c>
      <c r="B447" s="103" t="str">
        <f t="shared" si="6"/>
        <v>E8</v>
      </c>
      <c r="C447" s="99">
        <v>1</v>
      </c>
      <c r="D447" s="100" t="s">
        <v>1427</v>
      </c>
      <c r="E447" s="101" t="s">
        <v>2030</v>
      </c>
      <c r="F447" s="102" t="s">
        <v>217</v>
      </c>
      <c r="G447" s="100" t="s">
        <v>12</v>
      </c>
      <c r="H447" t="s">
        <v>2029</v>
      </c>
    </row>
    <row r="448" spans="1:8" ht="58">
      <c r="A448" s="103" t="s">
        <v>2027</v>
      </c>
      <c r="B448" s="103" t="str">
        <f t="shared" si="6"/>
        <v>E8</v>
      </c>
      <c r="C448" s="99">
        <v>1</v>
      </c>
      <c r="D448" s="100" t="s">
        <v>1429</v>
      </c>
      <c r="E448" s="101" t="s">
        <v>2031</v>
      </c>
      <c r="F448" s="102" t="s">
        <v>217</v>
      </c>
      <c r="G448" s="100" t="s">
        <v>12</v>
      </c>
      <c r="H448" t="s">
        <v>2029</v>
      </c>
    </row>
    <row r="449" spans="1:8" ht="58">
      <c r="A449" s="103" t="s">
        <v>2027</v>
      </c>
      <c r="B449" s="103" t="str">
        <f t="shared" si="6"/>
        <v>E8</v>
      </c>
      <c r="C449" s="99">
        <v>1</v>
      </c>
      <c r="D449" s="100" t="s">
        <v>1431</v>
      </c>
      <c r="E449" s="101" t="s">
        <v>2032</v>
      </c>
      <c r="F449" s="102" t="s">
        <v>217</v>
      </c>
      <c r="G449" s="100" t="s">
        <v>12</v>
      </c>
      <c r="H449" t="s">
        <v>2029</v>
      </c>
    </row>
    <row r="450" spans="1:8" ht="58">
      <c r="A450" s="103" t="s">
        <v>2027</v>
      </c>
      <c r="B450" s="103" t="str">
        <f t="shared" ref="B450:B513" si="7">DEC2HEX(A450, 2)</f>
        <v>E8</v>
      </c>
      <c r="C450" s="99">
        <v>1</v>
      </c>
      <c r="D450" s="100" t="s">
        <v>1433</v>
      </c>
      <c r="E450" s="101" t="s">
        <v>2033</v>
      </c>
      <c r="F450" s="102" t="s">
        <v>217</v>
      </c>
      <c r="G450" s="100" t="s">
        <v>12</v>
      </c>
      <c r="H450" t="s">
        <v>2029</v>
      </c>
    </row>
    <row r="451" spans="1:8" ht="58">
      <c r="A451" s="103" t="s">
        <v>2027</v>
      </c>
      <c r="B451" s="103" t="str">
        <f t="shared" si="7"/>
        <v>E8</v>
      </c>
      <c r="C451" s="99">
        <v>1</v>
      </c>
      <c r="D451" s="100" t="s">
        <v>1435</v>
      </c>
      <c r="E451" s="101" t="s">
        <v>2034</v>
      </c>
      <c r="F451" s="102" t="s">
        <v>217</v>
      </c>
      <c r="G451" s="100" t="s">
        <v>12</v>
      </c>
      <c r="H451" t="s">
        <v>2029</v>
      </c>
    </row>
    <row r="452" spans="1:8" ht="58">
      <c r="A452" s="103" t="s">
        <v>2027</v>
      </c>
      <c r="B452" s="103" t="str">
        <f t="shared" si="7"/>
        <v>E8</v>
      </c>
      <c r="C452" s="99">
        <v>1</v>
      </c>
      <c r="D452" s="100" t="s">
        <v>1437</v>
      </c>
      <c r="E452" s="101" t="s">
        <v>2035</v>
      </c>
      <c r="F452" s="102" t="s">
        <v>217</v>
      </c>
      <c r="G452" s="100" t="s">
        <v>12</v>
      </c>
      <c r="H452" t="s">
        <v>2029</v>
      </c>
    </row>
    <row r="453" spans="1:8" ht="58">
      <c r="A453" s="103" t="s">
        <v>2027</v>
      </c>
      <c r="B453" s="103" t="str">
        <f t="shared" si="7"/>
        <v>E8</v>
      </c>
      <c r="C453" s="99">
        <v>1</v>
      </c>
      <c r="D453" s="100" t="s">
        <v>1439</v>
      </c>
      <c r="E453" s="101" t="s">
        <v>2036</v>
      </c>
      <c r="F453" s="102" t="s">
        <v>217</v>
      </c>
      <c r="G453" s="100" t="s">
        <v>12</v>
      </c>
      <c r="H453" t="s">
        <v>2029</v>
      </c>
    </row>
    <row r="454" spans="1:8" ht="29">
      <c r="A454" s="103" t="s">
        <v>2037</v>
      </c>
      <c r="B454" s="103" t="e">
        <f t="shared" si="7"/>
        <v>#VALUE!</v>
      </c>
      <c r="C454" s="99">
        <v>7</v>
      </c>
      <c r="D454" s="100" t="s">
        <v>18</v>
      </c>
      <c r="E454" s="101" t="s">
        <v>439</v>
      </c>
      <c r="F454" s="102" t="s">
        <v>9</v>
      </c>
      <c r="G454" s="100" t="s">
        <v>440</v>
      </c>
      <c r="H454" t="s">
        <v>1537</v>
      </c>
    </row>
    <row r="455" spans="1:8" ht="29">
      <c r="A455" s="103" t="s">
        <v>2038</v>
      </c>
      <c r="B455" s="103" t="e">
        <f t="shared" si="7"/>
        <v>#VALUE!</v>
      </c>
      <c r="C455" s="99">
        <v>16</v>
      </c>
      <c r="D455" s="100" t="s">
        <v>18</v>
      </c>
      <c r="E455" s="101" t="s">
        <v>2039</v>
      </c>
      <c r="F455" s="102" t="s">
        <v>226</v>
      </c>
      <c r="G455" s="100" t="s">
        <v>2040</v>
      </c>
      <c r="H455" t="s">
        <v>2041</v>
      </c>
    </row>
  </sheetData>
  <autoFilter ref="A1:H455" xr:uid="{00000000-0009-0000-0000-00000B000000}"/>
  <pageMargins left="0.7" right="0.7" top="0.75" bottom="0.75" header="0.3" footer="0.3"/>
  <pageSetup paperSize="9"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8" tint="0.39997558519241921"/>
  </sheetPr>
  <dimension ref="A1:I346"/>
  <sheetViews>
    <sheetView workbookViewId="0">
      <pane ySplit="1" topLeftCell="A2" activePane="bottomLeft" state="frozen"/>
      <selection pane="bottomLeft"/>
    </sheetView>
  </sheetViews>
  <sheetFormatPr defaultRowHeight="14.5"/>
  <cols>
    <col min="1" max="1" width="8.453125" style="3" bestFit="1" customWidth="1"/>
    <col min="2" max="2" width="8.453125" style="3" customWidth="1"/>
    <col min="3" max="3" width="4.7265625" style="3" customWidth="1"/>
    <col min="4" max="4" width="42.1796875" style="5" customWidth="1"/>
    <col min="5" max="5" width="8.453125" style="5" customWidth="1"/>
    <col min="6" max="6" width="14" style="5" customWidth="1"/>
    <col min="7" max="7" width="60.81640625" style="42" bestFit="1" customWidth="1"/>
    <col min="8" max="8" width="14" style="42" customWidth="1"/>
    <col min="9" max="9" width="10.54296875" style="5" bestFit="1" customWidth="1"/>
  </cols>
  <sheetData>
    <row r="1" spans="1:8">
      <c r="A1" s="97" t="s">
        <v>0</v>
      </c>
      <c r="B1" s="97" t="s">
        <v>1</v>
      </c>
      <c r="C1" s="97" t="s">
        <v>362</v>
      </c>
      <c r="D1" s="98" t="s">
        <v>2</v>
      </c>
      <c r="E1" s="98" t="s">
        <v>3</v>
      </c>
      <c r="F1" s="97" t="s">
        <v>4</v>
      </c>
      <c r="G1" s="98" t="s">
        <v>5</v>
      </c>
      <c r="H1" t="s">
        <v>6</v>
      </c>
    </row>
    <row r="2" spans="1:8" ht="43.5">
      <c r="A2" s="99" t="s">
        <v>1423</v>
      </c>
      <c r="B2" s="99" t="str">
        <f t="shared" ref="B2:B65" si="0">DEC2HEX(A2, 2)</f>
        <v>80</v>
      </c>
      <c r="C2" s="99">
        <v>1</v>
      </c>
      <c r="D2" s="100" t="s">
        <v>129</v>
      </c>
      <c r="E2" s="101" t="s">
        <v>2042</v>
      </c>
      <c r="F2" s="102" t="s">
        <v>115</v>
      </c>
      <c r="G2" s="100" t="s">
        <v>319</v>
      </c>
      <c r="H2" t="s">
        <v>2043</v>
      </c>
    </row>
    <row r="3" spans="1:8" ht="43.5">
      <c r="A3" s="103" t="s">
        <v>1423</v>
      </c>
      <c r="B3" s="103" t="str">
        <f t="shared" si="0"/>
        <v>80</v>
      </c>
      <c r="C3" s="99">
        <v>1</v>
      </c>
      <c r="D3" s="100" t="s">
        <v>227</v>
      </c>
      <c r="E3" s="101" t="s">
        <v>2044</v>
      </c>
      <c r="F3" s="102" t="s">
        <v>115</v>
      </c>
      <c r="G3" s="100" t="s">
        <v>319</v>
      </c>
      <c r="H3" t="s">
        <v>2043</v>
      </c>
    </row>
    <row r="4" spans="1:8" ht="43.5">
      <c r="A4" s="103" t="s">
        <v>1441</v>
      </c>
      <c r="B4" s="103" t="str">
        <f t="shared" si="0"/>
        <v>81</v>
      </c>
      <c r="C4" s="99">
        <v>1</v>
      </c>
      <c r="D4" s="100" t="s">
        <v>129</v>
      </c>
      <c r="E4" s="101" t="s">
        <v>2045</v>
      </c>
      <c r="F4" s="102" t="s">
        <v>115</v>
      </c>
      <c r="G4" s="100" t="s">
        <v>319</v>
      </c>
      <c r="H4" t="s">
        <v>2043</v>
      </c>
    </row>
    <row r="5" spans="1:8" ht="43.5">
      <c r="A5" s="103" t="s">
        <v>1441</v>
      </c>
      <c r="B5" s="103" t="str">
        <f t="shared" si="0"/>
        <v>81</v>
      </c>
      <c r="C5" s="99">
        <v>1</v>
      </c>
      <c r="D5" s="100" t="s">
        <v>227</v>
      </c>
      <c r="E5" s="101" t="s">
        <v>2046</v>
      </c>
      <c r="F5" s="102" t="s">
        <v>115</v>
      </c>
      <c r="G5" s="100" t="s">
        <v>319</v>
      </c>
      <c r="H5" t="s">
        <v>2043</v>
      </c>
    </row>
    <row r="6" spans="1:8" ht="43.5">
      <c r="A6" s="103" t="s">
        <v>1451</v>
      </c>
      <c r="B6" s="103" t="str">
        <f t="shared" si="0"/>
        <v>82</v>
      </c>
      <c r="C6" s="99">
        <v>1</v>
      </c>
      <c r="D6" s="100" t="s">
        <v>129</v>
      </c>
      <c r="E6" s="101" t="s">
        <v>2047</v>
      </c>
      <c r="F6" s="102" t="s">
        <v>115</v>
      </c>
      <c r="G6" s="100" t="s">
        <v>319</v>
      </c>
      <c r="H6" t="s">
        <v>2043</v>
      </c>
    </row>
    <row r="7" spans="1:8" ht="43.5">
      <c r="A7" s="103" t="s">
        <v>1451</v>
      </c>
      <c r="B7" s="103" t="str">
        <f t="shared" si="0"/>
        <v>82</v>
      </c>
      <c r="C7" s="99">
        <v>1</v>
      </c>
      <c r="D7" s="100" t="s">
        <v>227</v>
      </c>
      <c r="E7" s="101" t="s">
        <v>2048</v>
      </c>
      <c r="F7" s="102" t="s">
        <v>115</v>
      </c>
      <c r="G7" s="100" t="s">
        <v>319</v>
      </c>
      <c r="H7" t="s">
        <v>2043</v>
      </c>
    </row>
    <row r="8" spans="1:8" ht="43.5">
      <c r="A8" s="103" t="s">
        <v>1461</v>
      </c>
      <c r="B8" s="103" t="str">
        <f t="shared" si="0"/>
        <v>83</v>
      </c>
      <c r="C8" s="99">
        <v>1</v>
      </c>
      <c r="D8" s="100" t="s">
        <v>129</v>
      </c>
      <c r="E8" s="101" t="s">
        <v>2049</v>
      </c>
      <c r="F8" s="102" t="s">
        <v>115</v>
      </c>
      <c r="G8" s="100" t="s">
        <v>319</v>
      </c>
      <c r="H8" t="s">
        <v>2043</v>
      </c>
    </row>
    <row r="9" spans="1:8" ht="72.650000000000006" customHeight="1">
      <c r="A9" s="103" t="s">
        <v>1461</v>
      </c>
      <c r="B9" s="103" t="str">
        <f t="shared" si="0"/>
        <v>83</v>
      </c>
      <c r="C9" s="99">
        <v>1</v>
      </c>
      <c r="D9" s="100" t="s">
        <v>227</v>
      </c>
      <c r="E9" s="101" t="s">
        <v>2050</v>
      </c>
      <c r="F9" s="102" t="s">
        <v>115</v>
      </c>
      <c r="G9" s="100" t="s">
        <v>319</v>
      </c>
      <c r="H9" t="s">
        <v>2043</v>
      </c>
    </row>
    <row r="10" spans="1:8" ht="29">
      <c r="A10" s="103" t="s">
        <v>1471</v>
      </c>
      <c r="B10" s="103" t="str">
        <f t="shared" si="0"/>
        <v>84</v>
      </c>
      <c r="C10" s="99">
        <v>1</v>
      </c>
      <c r="D10" s="100" t="s">
        <v>1424</v>
      </c>
      <c r="E10" s="101" t="s">
        <v>2051</v>
      </c>
      <c r="F10" s="102" t="s">
        <v>115</v>
      </c>
      <c r="G10" s="100" t="s">
        <v>137</v>
      </c>
      <c r="H10" t="s">
        <v>2052</v>
      </c>
    </row>
    <row r="11" spans="1:8" ht="29">
      <c r="A11" s="103" t="s">
        <v>1471</v>
      </c>
      <c r="B11" s="103" t="str">
        <f t="shared" si="0"/>
        <v>84</v>
      </c>
      <c r="C11" s="99">
        <v>1</v>
      </c>
      <c r="D11" s="100" t="s">
        <v>1427</v>
      </c>
      <c r="E11" s="101" t="s">
        <v>2053</v>
      </c>
      <c r="F11" s="102" t="s">
        <v>115</v>
      </c>
      <c r="G11" s="100" t="s">
        <v>137</v>
      </c>
      <c r="H11" t="s">
        <v>2052</v>
      </c>
    </row>
    <row r="12" spans="1:8" ht="29">
      <c r="A12" s="103" t="s">
        <v>1471</v>
      </c>
      <c r="B12" s="103" t="str">
        <f t="shared" si="0"/>
        <v>84</v>
      </c>
      <c r="C12" s="99">
        <v>1</v>
      </c>
      <c r="D12" s="100" t="s">
        <v>1429</v>
      </c>
      <c r="E12" s="101" t="s">
        <v>2054</v>
      </c>
      <c r="F12" s="102" t="s">
        <v>115</v>
      </c>
      <c r="G12" s="100" t="s">
        <v>137</v>
      </c>
      <c r="H12" t="s">
        <v>2052</v>
      </c>
    </row>
    <row r="13" spans="1:8" ht="29">
      <c r="A13" s="103" t="s">
        <v>1471</v>
      </c>
      <c r="B13" s="103" t="str">
        <f t="shared" si="0"/>
        <v>84</v>
      </c>
      <c r="C13" s="99">
        <v>1</v>
      </c>
      <c r="D13" s="100" t="s">
        <v>1431</v>
      </c>
      <c r="E13" s="101" t="s">
        <v>2055</v>
      </c>
      <c r="F13" s="102" t="s">
        <v>115</v>
      </c>
      <c r="G13" s="100" t="s">
        <v>137</v>
      </c>
      <c r="H13" t="s">
        <v>2052</v>
      </c>
    </row>
    <row r="14" spans="1:8" ht="29">
      <c r="A14" s="103" t="s">
        <v>1471</v>
      </c>
      <c r="B14" s="103" t="str">
        <f t="shared" si="0"/>
        <v>84</v>
      </c>
      <c r="C14" s="99">
        <v>1</v>
      </c>
      <c r="D14" s="100" t="s">
        <v>1433</v>
      </c>
      <c r="E14" s="101" t="s">
        <v>2056</v>
      </c>
      <c r="F14" s="102" t="s">
        <v>115</v>
      </c>
      <c r="G14" s="100" t="s">
        <v>137</v>
      </c>
      <c r="H14" t="s">
        <v>2052</v>
      </c>
    </row>
    <row r="15" spans="1:8" ht="29">
      <c r="A15" s="103" t="s">
        <v>1471</v>
      </c>
      <c r="B15" s="103" t="str">
        <f t="shared" si="0"/>
        <v>84</v>
      </c>
      <c r="C15" s="99">
        <v>1</v>
      </c>
      <c r="D15" s="100" t="s">
        <v>1435</v>
      </c>
      <c r="E15" s="101" t="s">
        <v>2057</v>
      </c>
      <c r="F15" s="102" t="s">
        <v>115</v>
      </c>
      <c r="G15" s="100" t="s">
        <v>137</v>
      </c>
      <c r="H15" t="s">
        <v>2052</v>
      </c>
    </row>
    <row r="16" spans="1:8" ht="29">
      <c r="A16" s="103" t="s">
        <v>1471</v>
      </c>
      <c r="B16" s="103" t="str">
        <f t="shared" si="0"/>
        <v>84</v>
      </c>
      <c r="C16" s="99">
        <v>1</v>
      </c>
      <c r="D16" s="100" t="s">
        <v>1437</v>
      </c>
      <c r="E16" s="101" t="s">
        <v>2058</v>
      </c>
      <c r="F16" s="102" t="s">
        <v>115</v>
      </c>
      <c r="G16" s="100" t="s">
        <v>137</v>
      </c>
      <c r="H16" t="s">
        <v>2052</v>
      </c>
    </row>
    <row r="17" spans="1:8" ht="29">
      <c r="A17" s="103" t="s">
        <v>1471</v>
      </c>
      <c r="B17" s="103" t="str">
        <f t="shared" si="0"/>
        <v>84</v>
      </c>
      <c r="C17" s="99">
        <v>1</v>
      </c>
      <c r="D17" s="100" t="s">
        <v>1439</v>
      </c>
      <c r="E17" s="101" t="s">
        <v>2059</v>
      </c>
      <c r="F17" s="102" t="s">
        <v>115</v>
      </c>
      <c r="G17" s="100" t="s">
        <v>137</v>
      </c>
      <c r="H17" t="s">
        <v>2052</v>
      </c>
    </row>
    <row r="18" spans="1:8" ht="29">
      <c r="A18" s="103" t="s">
        <v>1481</v>
      </c>
      <c r="B18" s="103" t="str">
        <f t="shared" si="0"/>
        <v>85</v>
      </c>
      <c r="C18" s="99">
        <v>1</v>
      </c>
      <c r="D18" s="100" t="s">
        <v>1424</v>
      </c>
      <c r="E18" s="101" t="s">
        <v>2060</v>
      </c>
      <c r="F18" s="102" t="s">
        <v>115</v>
      </c>
      <c r="G18" s="100" t="s">
        <v>12</v>
      </c>
      <c r="H18" t="s">
        <v>2061</v>
      </c>
    </row>
    <row r="19" spans="1:8" ht="29">
      <c r="A19" s="103" t="s">
        <v>1481</v>
      </c>
      <c r="B19" s="103" t="str">
        <f t="shared" si="0"/>
        <v>85</v>
      </c>
      <c r="C19" s="99">
        <v>1</v>
      </c>
      <c r="D19" s="100" t="s">
        <v>1427</v>
      </c>
      <c r="E19" s="101" t="s">
        <v>2062</v>
      </c>
      <c r="F19" s="102" t="s">
        <v>115</v>
      </c>
      <c r="G19" s="100" t="s">
        <v>12</v>
      </c>
      <c r="H19" t="s">
        <v>2061</v>
      </c>
    </row>
    <row r="20" spans="1:8" ht="29">
      <c r="A20" s="103" t="s">
        <v>1481</v>
      </c>
      <c r="B20" s="103" t="str">
        <f t="shared" si="0"/>
        <v>85</v>
      </c>
      <c r="C20" s="99">
        <v>1</v>
      </c>
      <c r="D20" s="100" t="s">
        <v>1429</v>
      </c>
      <c r="E20" s="101" t="s">
        <v>2063</v>
      </c>
      <c r="F20" s="102" t="s">
        <v>115</v>
      </c>
      <c r="G20" s="100" t="s">
        <v>12</v>
      </c>
      <c r="H20" t="s">
        <v>2061</v>
      </c>
    </row>
    <row r="21" spans="1:8" ht="29">
      <c r="A21" s="103" t="s">
        <v>1481</v>
      </c>
      <c r="B21" s="103" t="str">
        <f t="shared" si="0"/>
        <v>85</v>
      </c>
      <c r="C21" s="99">
        <v>1</v>
      </c>
      <c r="D21" s="100" t="s">
        <v>1431</v>
      </c>
      <c r="E21" s="101" t="s">
        <v>2064</v>
      </c>
      <c r="F21" s="102" t="s">
        <v>115</v>
      </c>
      <c r="G21" s="100" t="s">
        <v>12</v>
      </c>
      <c r="H21" t="s">
        <v>2061</v>
      </c>
    </row>
    <row r="22" spans="1:8" ht="29">
      <c r="A22" s="103" t="s">
        <v>1481</v>
      </c>
      <c r="B22" s="103" t="str">
        <f t="shared" si="0"/>
        <v>85</v>
      </c>
      <c r="C22" s="99">
        <v>1</v>
      </c>
      <c r="D22" s="100" t="s">
        <v>1433</v>
      </c>
      <c r="E22" s="101" t="s">
        <v>2065</v>
      </c>
      <c r="F22" s="102" t="s">
        <v>115</v>
      </c>
      <c r="G22" s="100" t="s">
        <v>12</v>
      </c>
      <c r="H22" t="s">
        <v>2061</v>
      </c>
    </row>
    <row r="23" spans="1:8" ht="29">
      <c r="A23" s="103" t="s">
        <v>1481</v>
      </c>
      <c r="B23" s="103" t="str">
        <f t="shared" si="0"/>
        <v>85</v>
      </c>
      <c r="C23" s="99">
        <v>1</v>
      </c>
      <c r="D23" s="100" t="s">
        <v>1435</v>
      </c>
      <c r="E23" s="101" t="s">
        <v>2066</v>
      </c>
      <c r="F23" s="102" t="s">
        <v>115</v>
      </c>
      <c r="G23" s="100" t="s">
        <v>12</v>
      </c>
      <c r="H23" t="s">
        <v>2061</v>
      </c>
    </row>
    <row r="24" spans="1:8" ht="29">
      <c r="A24" s="103" t="s">
        <v>1481</v>
      </c>
      <c r="B24" s="103" t="str">
        <f t="shared" si="0"/>
        <v>85</v>
      </c>
      <c r="C24" s="99">
        <v>1</v>
      </c>
      <c r="D24" s="100" t="s">
        <v>1437</v>
      </c>
      <c r="E24" s="101" t="s">
        <v>2067</v>
      </c>
      <c r="F24" s="102" t="s">
        <v>115</v>
      </c>
      <c r="G24" s="100" t="s">
        <v>12</v>
      </c>
      <c r="H24" t="s">
        <v>2061</v>
      </c>
    </row>
    <row r="25" spans="1:8" ht="29">
      <c r="A25" s="103" t="s">
        <v>1481</v>
      </c>
      <c r="B25" s="103" t="str">
        <f t="shared" si="0"/>
        <v>85</v>
      </c>
      <c r="C25" s="99">
        <v>1</v>
      </c>
      <c r="D25" s="100" t="s">
        <v>1439</v>
      </c>
      <c r="E25" s="101" t="s">
        <v>2068</v>
      </c>
      <c r="F25" s="102" t="s">
        <v>115</v>
      </c>
      <c r="G25" s="100" t="s">
        <v>137</v>
      </c>
      <c r="H25" t="s">
        <v>2061</v>
      </c>
    </row>
    <row r="26" spans="1:8" ht="43.5">
      <c r="A26" s="103" t="s">
        <v>1483</v>
      </c>
      <c r="B26" s="103" t="str">
        <f t="shared" si="0"/>
        <v>86</v>
      </c>
      <c r="C26" s="99">
        <v>1</v>
      </c>
      <c r="D26" s="100" t="s">
        <v>1424</v>
      </c>
      <c r="E26" s="101" t="s">
        <v>2069</v>
      </c>
      <c r="F26" s="102" t="s">
        <v>2070</v>
      </c>
      <c r="G26" s="100" t="s">
        <v>12</v>
      </c>
      <c r="H26" t="s">
        <v>2071</v>
      </c>
    </row>
    <row r="27" spans="1:8" ht="43.5">
      <c r="A27" s="103" t="s">
        <v>1483</v>
      </c>
      <c r="B27" s="103" t="str">
        <f t="shared" si="0"/>
        <v>86</v>
      </c>
      <c r="C27" s="99">
        <v>1</v>
      </c>
      <c r="D27" s="100" t="s">
        <v>1427</v>
      </c>
      <c r="E27" s="101" t="s">
        <v>2072</v>
      </c>
      <c r="F27" s="102" t="s">
        <v>2070</v>
      </c>
      <c r="G27" s="100" t="s">
        <v>12</v>
      </c>
      <c r="H27" t="s">
        <v>2071</v>
      </c>
    </row>
    <row r="28" spans="1:8" ht="43.5">
      <c r="A28" s="103" t="s">
        <v>1483</v>
      </c>
      <c r="B28" s="103" t="str">
        <f t="shared" si="0"/>
        <v>86</v>
      </c>
      <c r="C28" s="99">
        <v>1</v>
      </c>
      <c r="D28" s="100" t="s">
        <v>1429</v>
      </c>
      <c r="E28" s="101" t="s">
        <v>2073</v>
      </c>
      <c r="F28" s="102" t="s">
        <v>2070</v>
      </c>
      <c r="G28" s="100" t="s">
        <v>12</v>
      </c>
      <c r="H28" t="s">
        <v>2071</v>
      </c>
    </row>
    <row r="29" spans="1:8" ht="43.5">
      <c r="A29" s="103" t="s">
        <v>1483</v>
      </c>
      <c r="B29" s="103" t="str">
        <f t="shared" si="0"/>
        <v>86</v>
      </c>
      <c r="C29" s="99">
        <v>1</v>
      </c>
      <c r="D29" s="100" t="s">
        <v>1431</v>
      </c>
      <c r="E29" s="101" t="s">
        <v>2074</v>
      </c>
      <c r="F29" s="102" t="s">
        <v>2070</v>
      </c>
      <c r="G29" s="100" t="s">
        <v>12</v>
      </c>
      <c r="H29" t="s">
        <v>2071</v>
      </c>
    </row>
    <row r="30" spans="1:8" ht="43.5">
      <c r="A30" s="103" t="s">
        <v>1483</v>
      </c>
      <c r="B30" s="103" t="str">
        <f t="shared" si="0"/>
        <v>86</v>
      </c>
      <c r="C30" s="99">
        <v>1</v>
      </c>
      <c r="D30" s="100" t="s">
        <v>1433</v>
      </c>
      <c r="E30" s="101" t="s">
        <v>2075</v>
      </c>
      <c r="F30" s="102" t="s">
        <v>2070</v>
      </c>
      <c r="G30" s="100" t="s">
        <v>12</v>
      </c>
      <c r="H30" t="s">
        <v>2071</v>
      </c>
    </row>
    <row r="31" spans="1:8" ht="43.5">
      <c r="A31" s="103" t="s">
        <v>1483</v>
      </c>
      <c r="B31" s="103" t="str">
        <f t="shared" si="0"/>
        <v>86</v>
      </c>
      <c r="C31" s="99">
        <v>1</v>
      </c>
      <c r="D31" s="100" t="s">
        <v>1435</v>
      </c>
      <c r="E31" s="101" t="s">
        <v>2076</v>
      </c>
      <c r="F31" s="102" t="s">
        <v>2070</v>
      </c>
      <c r="G31" s="100" t="s">
        <v>12</v>
      </c>
      <c r="H31" t="s">
        <v>2071</v>
      </c>
    </row>
    <row r="32" spans="1:8" ht="43.5">
      <c r="A32" s="103" t="s">
        <v>1483</v>
      </c>
      <c r="B32" s="103" t="str">
        <f t="shared" si="0"/>
        <v>86</v>
      </c>
      <c r="C32" s="99">
        <v>1</v>
      </c>
      <c r="D32" s="100" t="s">
        <v>1437</v>
      </c>
      <c r="E32" s="101" t="s">
        <v>2077</v>
      </c>
      <c r="F32" s="102" t="s">
        <v>2070</v>
      </c>
      <c r="G32" s="100" t="s">
        <v>12</v>
      </c>
      <c r="H32" t="s">
        <v>2071</v>
      </c>
    </row>
    <row r="33" spans="1:8" ht="43.5">
      <c r="A33" s="103" t="s">
        <v>1483</v>
      </c>
      <c r="B33" s="103" t="str">
        <f t="shared" si="0"/>
        <v>86</v>
      </c>
      <c r="C33" s="99">
        <v>1</v>
      </c>
      <c r="D33" s="100" t="s">
        <v>1439</v>
      </c>
      <c r="E33" s="101" t="s">
        <v>2078</v>
      </c>
      <c r="F33" s="102" t="s">
        <v>2070</v>
      </c>
      <c r="G33" s="100" t="s">
        <v>12</v>
      </c>
      <c r="H33" t="s">
        <v>2071</v>
      </c>
    </row>
    <row r="34" spans="1:8" ht="29">
      <c r="A34" s="103" t="s">
        <v>1493</v>
      </c>
      <c r="B34" s="103" t="str">
        <f t="shared" si="0"/>
        <v>87</v>
      </c>
      <c r="C34" s="99">
        <v>1</v>
      </c>
      <c r="D34" s="100" t="s">
        <v>1424</v>
      </c>
      <c r="E34" s="101" t="s">
        <v>2079</v>
      </c>
      <c r="F34" s="102" t="s">
        <v>2080</v>
      </c>
      <c r="G34" s="100" t="s">
        <v>12</v>
      </c>
      <c r="H34" t="s">
        <v>2081</v>
      </c>
    </row>
    <row r="35" spans="1:8" ht="29">
      <c r="A35" s="103" t="s">
        <v>1493</v>
      </c>
      <c r="B35" s="103" t="str">
        <f t="shared" si="0"/>
        <v>87</v>
      </c>
      <c r="C35" s="99">
        <v>1</v>
      </c>
      <c r="D35" s="100" t="s">
        <v>1427</v>
      </c>
      <c r="E35" s="101" t="s">
        <v>2082</v>
      </c>
      <c r="F35" s="102" t="s">
        <v>2080</v>
      </c>
      <c r="G35" s="100" t="s">
        <v>12</v>
      </c>
      <c r="H35" t="s">
        <v>2081</v>
      </c>
    </row>
    <row r="36" spans="1:8" ht="29">
      <c r="A36" s="103" t="s">
        <v>1493</v>
      </c>
      <c r="B36" s="103" t="str">
        <f t="shared" si="0"/>
        <v>87</v>
      </c>
      <c r="C36" s="99">
        <v>1</v>
      </c>
      <c r="D36" s="100" t="s">
        <v>1429</v>
      </c>
      <c r="E36" s="101" t="s">
        <v>2083</v>
      </c>
      <c r="F36" s="102" t="s">
        <v>2080</v>
      </c>
      <c r="G36" s="100" t="s">
        <v>12</v>
      </c>
      <c r="H36" t="s">
        <v>2081</v>
      </c>
    </row>
    <row r="37" spans="1:8" ht="29">
      <c r="A37" s="103" t="s">
        <v>1493</v>
      </c>
      <c r="B37" s="103" t="str">
        <f t="shared" si="0"/>
        <v>87</v>
      </c>
      <c r="C37" s="99">
        <v>1</v>
      </c>
      <c r="D37" s="100" t="s">
        <v>1431</v>
      </c>
      <c r="E37" s="101" t="s">
        <v>2084</v>
      </c>
      <c r="F37" s="102" t="s">
        <v>2080</v>
      </c>
      <c r="G37" s="100" t="s">
        <v>12</v>
      </c>
      <c r="H37" t="s">
        <v>2081</v>
      </c>
    </row>
    <row r="38" spans="1:8" ht="29">
      <c r="A38" s="103" t="s">
        <v>1493</v>
      </c>
      <c r="B38" s="103" t="str">
        <f t="shared" si="0"/>
        <v>87</v>
      </c>
      <c r="C38" s="99">
        <v>1</v>
      </c>
      <c r="D38" s="100" t="s">
        <v>1433</v>
      </c>
      <c r="E38" s="101" t="s">
        <v>2085</v>
      </c>
      <c r="F38" s="102" t="s">
        <v>2080</v>
      </c>
      <c r="G38" s="100" t="s">
        <v>12</v>
      </c>
      <c r="H38" t="s">
        <v>2081</v>
      </c>
    </row>
    <row r="39" spans="1:8" ht="29">
      <c r="A39" s="103" t="s">
        <v>1493</v>
      </c>
      <c r="B39" s="103" t="str">
        <f t="shared" si="0"/>
        <v>87</v>
      </c>
      <c r="C39" s="99">
        <v>1</v>
      </c>
      <c r="D39" s="100" t="s">
        <v>1435</v>
      </c>
      <c r="E39" s="101" t="s">
        <v>2086</v>
      </c>
      <c r="F39" s="102" t="s">
        <v>2080</v>
      </c>
      <c r="G39" s="100" t="s">
        <v>12</v>
      </c>
      <c r="H39" t="s">
        <v>2081</v>
      </c>
    </row>
    <row r="40" spans="1:8" ht="29">
      <c r="A40" s="103" t="s">
        <v>1493</v>
      </c>
      <c r="B40" s="103" t="str">
        <f t="shared" si="0"/>
        <v>87</v>
      </c>
      <c r="C40" s="99">
        <v>1</v>
      </c>
      <c r="D40" s="100" t="s">
        <v>1437</v>
      </c>
      <c r="E40" s="101" t="s">
        <v>2087</v>
      </c>
      <c r="F40" s="102" t="s">
        <v>2080</v>
      </c>
      <c r="G40" s="100" t="s">
        <v>12</v>
      </c>
      <c r="H40" t="s">
        <v>2081</v>
      </c>
    </row>
    <row r="41" spans="1:8" ht="29">
      <c r="A41" s="103" t="s">
        <v>1493</v>
      </c>
      <c r="B41" s="103" t="str">
        <f t="shared" si="0"/>
        <v>87</v>
      </c>
      <c r="C41" s="99">
        <v>1</v>
      </c>
      <c r="D41" s="100" t="s">
        <v>1439</v>
      </c>
      <c r="E41" s="101" t="s">
        <v>2088</v>
      </c>
      <c r="F41" s="102" t="s">
        <v>2080</v>
      </c>
      <c r="G41" s="100" t="s">
        <v>12</v>
      </c>
      <c r="H41" t="s">
        <v>2081</v>
      </c>
    </row>
    <row r="42" spans="1:8" ht="29">
      <c r="A42" s="103" t="s">
        <v>1500</v>
      </c>
      <c r="B42" s="103" t="str">
        <f t="shared" si="0"/>
        <v>88</v>
      </c>
      <c r="C42" s="99">
        <v>1</v>
      </c>
      <c r="D42" s="100" t="s">
        <v>1424</v>
      </c>
      <c r="E42" s="101" t="s">
        <v>2089</v>
      </c>
      <c r="F42" s="102" t="s">
        <v>2080</v>
      </c>
      <c r="G42" s="100" t="s">
        <v>12</v>
      </c>
      <c r="H42" t="s">
        <v>2090</v>
      </c>
    </row>
    <row r="43" spans="1:8" ht="29">
      <c r="A43" s="103" t="s">
        <v>1500</v>
      </c>
      <c r="B43" s="103" t="str">
        <f t="shared" si="0"/>
        <v>88</v>
      </c>
      <c r="C43" s="99">
        <v>1</v>
      </c>
      <c r="D43" s="100" t="s">
        <v>1427</v>
      </c>
      <c r="E43" s="101" t="s">
        <v>2091</v>
      </c>
      <c r="F43" s="102" t="s">
        <v>2080</v>
      </c>
      <c r="G43" s="100" t="s">
        <v>12</v>
      </c>
      <c r="H43" t="s">
        <v>2090</v>
      </c>
    </row>
    <row r="44" spans="1:8" ht="29">
      <c r="A44" s="103" t="s">
        <v>1500</v>
      </c>
      <c r="B44" s="103" t="str">
        <f t="shared" si="0"/>
        <v>88</v>
      </c>
      <c r="C44" s="99">
        <v>1</v>
      </c>
      <c r="D44" s="100" t="s">
        <v>1429</v>
      </c>
      <c r="E44" s="101" t="s">
        <v>2092</v>
      </c>
      <c r="F44" s="102" t="s">
        <v>2080</v>
      </c>
      <c r="G44" s="100" t="s">
        <v>12</v>
      </c>
      <c r="H44" t="s">
        <v>2090</v>
      </c>
    </row>
    <row r="45" spans="1:8" ht="29">
      <c r="A45" s="103" t="s">
        <v>1500</v>
      </c>
      <c r="B45" s="103" t="str">
        <f t="shared" si="0"/>
        <v>88</v>
      </c>
      <c r="C45" s="99">
        <v>1</v>
      </c>
      <c r="D45" s="100" t="s">
        <v>1431</v>
      </c>
      <c r="E45" s="101" t="s">
        <v>2093</v>
      </c>
      <c r="F45" s="102" t="s">
        <v>2080</v>
      </c>
      <c r="G45" s="100" t="s">
        <v>12</v>
      </c>
      <c r="H45" t="s">
        <v>2090</v>
      </c>
    </row>
    <row r="46" spans="1:8" ht="29">
      <c r="A46" s="103" t="s">
        <v>1500</v>
      </c>
      <c r="B46" s="103" t="str">
        <f t="shared" si="0"/>
        <v>88</v>
      </c>
      <c r="C46" s="99">
        <v>1</v>
      </c>
      <c r="D46" s="100" t="s">
        <v>1433</v>
      </c>
      <c r="E46" s="101" t="s">
        <v>2094</v>
      </c>
      <c r="F46" s="102" t="s">
        <v>2080</v>
      </c>
      <c r="G46" s="100" t="s">
        <v>12</v>
      </c>
      <c r="H46" t="s">
        <v>2090</v>
      </c>
    </row>
    <row r="47" spans="1:8" ht="29">
      <c r="A47" s="103" t="s">
        <v>1500</v>
      </c>
      <c r="B47" s="103" t="str">
        <f t="shared" si="0"/>
        <v>88</v>
      </c>
      <c r="C47" s="99">
        <v>1</v>
      </c>
      <c r="D47" s="100" t="s">
        <v>1435</v>
      </c>
      <c r="E47" s="101" t="s">
        <v>2095</v>
      </c>
      <c r="F47" s="102" t="s">
        <v>2080</v>
      </c>
      <c r="G47" s="100" t="s">
        <v>12</v>
      </c>
      <c r="H47" t="s">
        <v>2090</v>
      </c>
    </row>
    <row r="48" spans="1:8" ht="29">
      <c r="A48" s="103" t="s">
        <v>1500</v>
      </c>
      <c r="B48" s="103" t="str">
        <f t="shared" si="0"/>
        <v>88</v>
      </c>
      <c r="C48" s="99">
        <v>1</v>
      </c>
      <c r="D48" s="100" t="s">
        <v>1437</v>
      </c>
      <c r="E48" s="101" t="s">
        <v>2096</v>
      </c>
      <c r="F48" s="102" t="s">
        <v>2080</v>
      </c>
      <c r="G48" s="100" t="s">
        <v>12</v>
      </c>
      <c r="H48" t="s">
        <v>2090</v>
      </c>
    </row>
    <row r="49" spans="1:8" ht="29">
      <c r="A49" s="103" t="s">
        <v>1500</v>
      </c>
      <c r="B49" s="103" t="str">
        <f t="shared" si="0"/>
        <v>88</v>
      </c>
      <c r="C49" s="99">
        <v>1</v>
      </c>
      <c r="D49" s="100" t="s">
        <v>1439</v>
      </c>
      <c r="E49" s="101" t="s">
        <v>2097</v>
      </c>
      <c r="F49" s="102" t="s">
        <v>2080</v>
      </c>
      <c r="G49" s="100" t="s">
        <v>12</v>
      </c>
      <c r="H49" t="s">
        <v>2090</v>
      </c>
    </row>
    <row r="50" spans="1:8" ht="29">
      <c r="A50" s="103" t="s">
        <v>1505</v>
      </c>
      <c r="B50" s="103" t="str">
        <f t="shared" si="0"/>
        <v>89</v>
      </c>
      <c r="C50" s="99">
        <v>1</v>
      </c>
      <c r="D50" s="100" t="s">
        <v>1424</v>
      </c>
      <c r="E50" s="101" t="s">
        <v>2098</v>
      </c>
      <c r="F50" s="102" t="s">
        <v>2080</v>
      </c>
      <c r="G50" s="100" t="s">
        <v>12</v>
      </c>
      <c r="H50" t="s">
        <v>2099</v>
      </c>
    </row>
    <row r="51" spans="1:8" ht="29">
      <c r="A51" s="103" t="s">
        <v>1505</v>
      </c>
      <c r="B51" s="103" t="str">
        <f t="shared" si="0"/>
        <v>89</v>
      </c>
      <c r="C51" s="99">
        <v>1</v>
      </c>
      <c r="D51" s="100" t="s">
        <v>1427</v>
      </c>
      <c r="E51" s="101" t="s">
        <v>2100</v>
      </c>
      <c r="F51" s="102" t="s">
        <v>2080</v>
      </c>
      <c r="G51" s="100" t="s">
        <v>12</v>
      </c>
      <c r="H51" t="s">
        <v>2099</v>
      </c>
    </row>
    <row r="52" spans="1:8" ht="29">
      <c r="A52" s="103" t="s">
        <v>1505</v>
      </c>
      <c r="B52" s="103" t="str">
        <f t="shared" si="0"/>
        <v>89</v>
      </c>
      <c r="C52" s="99">
        <v>1</v>
      </c>
      <c r="D52" s="100" t="s">
        <v>1429</v>
      </c>
      <c r="E52" s="101" t="s">
        <v>2101</v>
      </c>
      <c r="F52" s="102" t="s">
        <v>2080</v>
      </c>
      <c r="G52" s="100" t="s">
        <v>12</v>
      </c>
      <c r="H52" t="s">
        <v>2099</v>
      </c>
    </row>
    <row r="53" spans="1:8" ht="29">
      <c r="A53" s="103" t="s">
        <v>1505</v>
      </c>
      <c r="B53" s="103" t="str">
        <f t="shared" si="0"/>
        <v>89</v>
      </c>
      <c r="C53" s="99">
        <v>1</v>
      </c>
      <c r="D53" s="100" t="s">
        <v>1431</v>
      </c>
      <c r="E53" s="101" t="s">
        <v>2102</v>
      </c>
      <c r="F53" s="102" t="s">
        <v>2080</v>
      </c>
      <c r="G53" s="100" t="s">
        <v>12</v>
      </c>
      <c r="H53" t="s">
        <v>2099</v>
      </c>
    </row>
    <row r="54" spans="1:8" ht="29">
      <c r="A54" s="103" t="s">
        <v>1505</v>
      </c>
      <c r="B54" s="103" t="str">
        <f t="shared" si="0"/>
        <v>89</v>
      </c>
      <c r="C54" s="99">
        <v>1</v>
      </c>
      <c r="D54" s="100" t="s">
        <v>1433</v>
      </c>
      <c r="E54" s="101" t="s">
        <v>2103</v>
      </c>
      <c r="F54" s="102" t="s">
        <v>2080</v>
      </c>
      <c r="G54" s="100" t="s">
        <v>12</v>
      </c>
      <c r="H54" t="s">
        <v>2099</v>
      </c>
    </row>
    <row r="55" spans="1:8" ht="29">
      <c r="A55" s="103" t="s">
        <v>1505</v>
      </c>
      <c r="B55" s="103" t="str">
        <f t="shared" si="0"/>
        <v>89</v>
      </c>
      <c r="C55" s="99">
        <v>1</v>
      </c>
      <c r="D55" s="100" t="s">
        <v>1435</v>
      </c>
      <c r="E55" s="101" t="s">
        <v>2104</v>
      </c>
      <c r="F55" s="102" t="s">
        <v>2080</v>
      </c>
      <c r="G55" s="100" t="s">
        <v>12</v>
      </c>
      <c r="H55" t="s">
        <v>2099</v>
      </c>
    </row>
    <row r="56" spans="1:8" ht="29">
      <c r="A56" s="103" t="s">
        <v>1505</v>
      </c>
      <c r="B56" s="103" t="str">
        <f t="shared" si="0"/>
        <v>89</v>
      </c>
      <c r="C56" s="99">
        <v>1</v>
      </c>
      <c r="D56" s="100" t="s">
        <v>1437</v>
      </c>
      <c r="E56" s="101" t="s">
        <v>2105</v>
      </c>
      <c r="F56" s="102" t="s">
        <v>2080</v>
      </c>
      <c r="G56" s="100" t="s">
        <v>12</v>
      </c>
      <c r="H56" t="s">
        <v>2099</v>
      </c>
    </row>
    <row r="57" spans="1:8" ht="29">
      <c r="A57" s="103" t="s">
        <v>1505</v>
      </c>
      <c r="B57" s="103" t="str">
        <f t="shared" si="0"/>
        <v>89</v>
      </c>
      <c r="C57" s="99">
        <v>1</v>
      </c>
      <c r="D57" s="100" t="s">
        <v>1439</v>
      </c>
      <c r="E57" s="101" t="s">
        <v>2106</v>
      </c>
      <c r="F57" s="102" t="s">
        <v>2080</v>
      </c>
      <c r="G57" s="100" t="s">
        <v>12</v>
      </c>
      <c r="H57" t="s">
        <v>2099</v>
      </c>
    </row>
    <row r="58" spans="1:8" ht="58">
      <c r="A58" s="103" t="s">
        <v>1515</v>
      </c>
      <c r="B58" s="103" t="str">
        <f t="shared" si="0"/>
        <v>8A</v>
      </c>
      <c r="C58" s="99">
        <v>1</v>
      </c>
      <c r="D58" s="100" t="s">
        <v>1424</v>
      </c>
      <c r="E58" s="101" t="s">
        <v>2107</v>
      </c>
      <c r="F58" s="102" t="s">
        <v>2080</v>
      </c>
      <c r="G58" s="100" t="s">
        <v>12</v>
      </c>
      <c r="H58" t="s">
        <v>2108</v>
      </c>
    </row>
    <row r="59" spans="1:8" ht="58">
      <c r="A59" s="103" t="s">
        <v>1515</v>
      </c>
      <c r="B59" s="103" t="str">
        <f t="shared" si="0"/>
        <v>8A</v>
      </c>
      <c r="C59" s="99">
        <v>1</v>
      </c>
      <c r="D59" s="100" t="s">
        <v>1427</v>
      </c>
      <c r="E59" s="101" t="s">
        <v>2109</v>
      </c>
      <c r="F59" s="102" t="s">
        <v>2080</v>
      </c>
      <c r="G59" s="100" t="s">
        <v>12</v>
      </c>
      <c r="H59" t="s">
        <v>2108</v>
      </c>
    </row>
    <row r="60" spans="1:8" ht="58">
      <c r="A60" s="103" t="s">
        <v>1515</v>
      </c>
      <c r="B60" s="103" t="str">
        <f t="shared" si="0"/>
        <v>8A</v>
      </c>
      <c r="C60" s="99">
        <v>1</v>
      </c>
      <c r="D60" s="100" t="s">
        <v>1429</v>
      </c>
      <c r="E60" s="101" t="s">
        <v>2110</v>
      </c>
      <c r="F60" s="102" t="s">
        <v>2080</v>
      </c>
      <c r="G60" s="100" t="s">
        <v>12</v>
      </c>
      <c r="H60" t="s">
        <v>2108</v>
      </c>
    </row>
    <row r="61" spans="1:8" ht="58">
      <c r="A61" s="103" t="s">
        <v>1515</v>
      </c>
      <c r="B61" s="103" t="str">
        <f t="shared" si="0"/>
        <v>8A</v>
      </c>
      <c r="C61" s="99">
        <v>1</v>
      </c>
      <c r="D61" s="100" t="s">
        <v>1431</v>
      </c>
      <c r="E61" s="101" t="s">
        <v>2111</v>
      </c>
      <c r="F61" s="102" t="s">
        <v>2080</v>
      </c>
      <c r="G61" s="100" t="s">
        <v>12</v>
      </c>
      <c r="H61" t="s">
        <v>2108</v>
      </c>
    </row>
    <row r="62" spans="1:8" ht="58">
      <c r="A62" s="103" t="s">
        <v>1515</v>
      </c>
      <c r="B62" s="103" t="str">
        <f t="shared" si="0"/>
        <v>8A</v>
      </c>
      <c r="C62" s="99">
        <v>1</v>
      </c>
      <c r="D62" s="100" t="s">
        <v>1433</v>
      </c>
      <c r="E62" s="101" t="s">
        <v>2112</v>
      </c>
      <c r="F62" s="102" t="s">
        <v>2080</v>
      </c>
      <c r="G62" s="100" t="s">
        <v>12</v>
      </c>
      <c r="H62" t="s">
        <v>2108</v>
      </c>
    </row>
    <row r="63" spans="1:8" ht="58">
      <c r="A63" s="103" t="s">
        <v>1515</v>
      </c>
      <c r="B63" s="103" t="str">
        <f t="shared" si="0"/>
        <v>8A</v>
      </c>
      <c r="C63" s="99">
        <v>1</v>
      </c>
      <c r="D63" s="100" t="s">
        <v>1435</v>
      </c>
      <c r="E63" s="101" t="s">
        <v>2113</v>
      </c>
      <c r="F63" s="102" t="s">
        <v>2080</v>
      </c>
      <c r="G63" s="100" t="s">
        <v>12</v>
      </c>
      <c r="H63" t="s">
        <v>2108</v>
      </c>
    </row>
    <row r="64" spans="1:8" ht="58">
      <c r="A64" s="103" t="s">
        <v>1515</v>
      </c>
      <c r="B64" s="103" t="str">
        <f t="shared" si="0"/>
        <v>8A</v>
      </c>
      <c r="C64" s="99">
        <v>1</v>
      </c>
      <c r="D64" s="100" t="s">
        <v>1437</v>
      </c>
      <c r="E64" s="101" t="s">
        <v>2114</v>
      </c>
      <c r="F64" s="102" t="s">
        <v>2080</v>
      </c>
      <c r="G64" s="100" t="s">
        <v>12</v>
      </c>
      <c r="H64" t="s">
        <v>2108</v>
      </c>
    </row>
    <row r="65" spans="1:8" ht="58">
      <c r="A65" s="103" t="s">
        <v>1515</v>
      </c>
      <c r="B65" s="103" t="str">
        <f t="shared" si="0"/>
        <v>8A</v>
      </c>
      <c r="C65" s="99">
        <v>1</v>
      </c>
      <c r="D65" s="100" t="s">
        <v>1439</v>
      </c>
      <c r="E65" s="101" t="s">
        <v>2115</v>
      </c>
      <c r="F65" s="102" t="s">
        <v>2080</v>
      </c>
      <c r="G65" s="100" t="s">
        <v>12</v>
      </c>
      <c r="H65" t="s">
        <v>2108</v>
      </c>
    </row>
    <row r="66" spans="1:8" ht="58">
      <c r="A66" s="103" t="s">
        <v>1525</v>
      </c>
      <c r="B66" s="103" t="str">
        <f t="shared" ref="B66:B129" si="1">DEC2HEX(A66, 2)</f>
        <v>8B</v>
      </c>
      <c r="C66" s="99">
        <v>1</v>
      </c>
      <c r="D66" s="100" t="s">
        <v>1424</v>
      </c>
      <c r="E66" s="101" t="s">
        <v>2116</v>
      </c>
      <c r="F66" s="102" t="s">
        <v>2080</v>
      </c>
      <c r="G66" s="100" t="s">
        <v>12</v>
      </c>
      <c r="H66" t="s">
        <v>2117</v>
      </c>
    </row>
    <row r="67" spans="1:8" ht="58">
      <c r="A67" s="103" t="s">
        <v>1525</v>
      </c>
      <c r="B67" s="103" t="str">
        <f t="shared" si="1"/>
        <v>8B</v>
      </c>
      <c r="C67" s="99">
        <v>1</v>
      </c>
      <c r="D67" s="100" t="s">
        <v>1427</v>
      </c>
      <c r="E67" s="101" t="s">
        <v>2118</v>
      </c>
      <c r="F67" s="102" t="s">
        <v>2080</v>
      </c>
      <c r="G67" s="100" t="s">
        <v>12</v>
      </c>
      <c r="H67" t="s">
        <v>2117</v>
      </c>
    </row>
    <row r="68" spans="1:8" ht="58">
      <c r="A68" s="103" t="s">
        <v>1525</v>
      </c>
      <c r="B68" s="103" t="str">
        <f t="shared" si="1"/>
        <v>8B</v>
      </c>
      <c r="C68" s="99">
        <v>1</v>
      </c>
      <c r="D68" s="100" t="s">
        <v>1429</v>
      </c>
      <c r="E68" s="101" t="s">
        <v>2119</v>
      </c>
      <c r="F68" s="102" t="s">
        <v>2080</v>
      </c>
      <c r="G68" s="100" t="s">
        <v>12</v>
      </c>
      <c r="H68" t="s">
        <v>2117</v>
      </c>
    </row>
    <row r="69" spans="1:8" ht="58">
      <c r="A69" s="103" t="s">
        <v>1525</v>
      </c>
      <c r="B69" s="103" t="str">
        <f t="shared" si="1"/>
        <v>8B</v>
      </c>
      <c r="C69" s="99">
        <v>1</v>
      </c>
      <c r="D69" s="100" t="s">
        <v>1431</v>
      </c>
      <c r="E69" s="101" t="s">
        <v>2120</v>
      </c>
      <c r="F69" s="102" t="s">
        <v>2080</v>
      </c>
      <c r="G69" s="100" t="s">
        <v>12</v>
      </c>
      <c r="H69" t="s">
        <v>2117</v>
      </c>
    </row>
    <row r="70" spans="1:8" ht="58">
      <c r="A70" s="103" t="s">
        <v>1525</v>
      </c>
      <c r="B70" s="103" t="str">
        <f t="shared" si="1"/>
        <v>8B</v>
      </c>
      <c r="C70" s="99">
        <v>1</v>
      </c>
      <c r="D70" s="100" t="s">
        <v>1433</v>
      </c>
      <c r="E70" s="101" t="s">
        <v>2121</v>
      </c>
      <c r="F70" s="102" t="s">
        <v>2080</v>
      </c>
      <c r="G70" s="100" t="s">
        <v>12</v>
      </c>
      <c r="H70" t="s">
        <v>2117</v>
      </c>
    </row>
    <row r="71" spans="1:8" ht="58">
      <c r="A71" s="103" t="s">
        <v>1525</v>
      </c>
      <c r="B71" s="103" t="str">
        <f t="shared" si="1"/>
        <v>8B</v>
      </c>
      <c r="C71" s="99">
        <v>1</v>
      </c>
      <c r="D71" s="100" t="s">
        <v>1435</v>
      </c>
      <c r="E71" s="101" t="s">
        <v>2122</v>
      </c>
      <c r="F71" s="102" t="s">
        <v>2080</v>
      </c>
      <c r="G71" s="100" t="s">
        <v>12</v>
      </c>
      <c r="H71" t="s">
        <v>2117</v>
      </c>
    </row>
    <row r="72" spans="1:8" ht="58">
      <c r="A72" s="103" t="s">
        <v>1525</v>
      </c>
      <c r="B72" s="103" t="str">
        <f t="shared" si="1"/>
        <v>8B</v>
      </c>
      <c r="C72" s="99">
        <v>1</v>
      </c>
      <c r="D72" s="100" t="s">
        <v>1437</v>
      </c>
      <c r="E72" s="101" t="s">
        <v>2123</v>
      </c>
      <c r="F72" s="102" t="s">
        <v>2080</v>
      </c>
      <c r="G72" s="100" t="s">
        <v>12</v>
      </c>
      <c r="H72" t="s">
        <v>2117</v>
      </c>
    </row>
    <row r="73" spans="1:8" ht="58">
      <c r="A73" s="103" t="s">
        <v>1525</v>
      </c>
      <c r="B73" s="103" t="str">
        <f t="shared" si="1"/>
        <v>8B</v>
      </c>
      <c r="C73" s="99">
        <v>1</v>
      </c>
      <c r="D73" s="100" t="s">
        <v>1439</v>
      </c>
      <c r="E73" s="101" t="s">
        <v>2124</v>
      </c>
      <c r="F73" s="102" t="s">
        <v>2080</v>
      </c>
      <c r="G73" s="100" t="s">
        <v>12</v>
      </c>
      <c r="H73" t="s">
        <v>2117</v>
      </c>
    </row>
    <row r="74" spans="1:8" ht="58">
      <c r="A74" s="103" t="s">
        <v>2125</v>
      </c>
      <c r="B74" s="103" t="str">
        <f t="shared" si="1"/>
        <v>8C</v>
      </c>
      <c r="C74" s="99">
        <v>1</v>
      </c>
      <c r="D74" s="100" t="s">
        <v>1424</v>
      </c>
      <c r="E74" s="101" t="s">
        <v>2126</v>
      </c>
      <c r="F74" s="102" t="s">
        <v>2080</v>
      </c>
      <c r="G74" s="100" t="s">
        <v>12</v>
      </c>
      <c r="H74" t="s">
        <v>2127</v>
      </c>
    </row>
    <row r="75" spans="1:8" ht="58">
      <c r="A75" s="103" t="s">
        <v>2125</v>
      </c>
      <c r="B75" s="103" t="str">
        <f t="shared" si="1"/>
        <v>8C</v>
      </c>
      <c r="C75" s="99">
        <v>1</v>
      </c>
      <c r="D75" s="100" t="s">
        <v>1427</v>
      </c>
      <c r="E75" s="101" t="s">
        <v>2128</v>
      </c>
      <c r="F75" s="102" t="s">
        <v>2080</v>
      </c>
      <c r="G75" s="100" t="s">
        <v>12</v>
      </c>
      <c r="H75" t="s">
        <v>2127</v>
      </c>
    </row>
    <row r="76" spans="1:8" ht="58">
      <c r="A76" s="103" t="s">
        <v>2125</v>
      </c>
      <c r="B76" s="103" t="str">
        <f t="shared" si="1"/>
        <v>8C</v>
      </c>
      <c r="C76" s="99">
        <v>1</v>
      </c>
      <c r="D76" s="100" t="s">
        <v>1429</v>
      </c>
      <c r="E76" s="101" t="s">
        <v>2129</v>
      </c>
      <c r="F76" s="102" t="s">
        <v>2080</v>
      </c>
      <c r="G76" s="100" t="s">
        <v>12</v>
      </c>
      <c r="H76" t="s">
        <v>2127</v>
      </c>
    </row>
    <row r="77" spans="1:8" ht="58">
      <c r="A77" s="103" t="s">
        <v>2125</v>
      </c>
      <c r="B77" s="103" t="str">
        <f t="shared" si="1"/>
        <v>8C</v>
      </c>
      <c r="C77" s="99">
        <v>1</v>
      </c>
      <c r="D77" s="100" t="s">
        <v>1431</v>
      </c>
      <c r="E77" s="101" t="s">
        <v>2130</v>
      </c>
      <c r="F77" s="102" t="s">
        <v>2080</v>
      </c>
      <c r="G77" s="100" t="s">
        <v>12</v>
      </c>
      <c r="H77" t="s">
        <v>2127</v>
      </c>
    </row>
    <row r="78" spans="1:8" ht="58">
      <c r="A78" s="103" t="s">
        <v>2125</v>
      </c>
      <c r="B78" s="103" t="str">
        <f t="shared" si="1"/>
        <v>8C</v>
      </c>
      <c r="C78" s="99">
        <v>1</v>
      </c>
      <c r="D78" s="100" t="s">
        <v>1433</v>
      </c>
      <c r="E78" s="101" t="s">
        <v>2131</v>
      </c>
      <c r="F78" s="102" t="s">
        <v>2080</v>
      </c>
      <c r="G78" s="100" t="s">
        <v>12</v>
      </c>
      <c r="H78" t="s">
        <v>2127</v>
      </c>
    </row>
    <row r="79" spans="1:8" ht="58">
      <c r="A79" s="103" t="s">
        <v>2125</v>
      </c>
      <c r="B79" s="103" t="str">
        <f t="shared" si="1"/>
        <v>8C</v>
      </c>
      <c r="C79" s="99">
        <v>1</v>
      </c>
      <c r="D79" s="100" t="s">
        <v>1435</v>
      </c>
      <c r="E79" s="101" t="s">
        <v>2132</v>
      </c>
      <c r="F79" s="102" t="s">
        <v>2080</v>
      </c>
      <c r="G79" s="100" t="s">
        <v>12</v>
      </c>
      <c r="H79" t="s">
        <v>2127</v>
      </c>
    </row>
    <row r="80" spans="1:8" ht="58">
      <c r="A80" s="103" t="s">
        <v>2125</v>
      </c>
      <c r="B80" s="103" t="str">
        <f t="shared" si="1"/>
        <v>8C</v>
      </c>
      <c r="C80" s="99">
        <v>1</v>
      </c>
      <c r="D80" s="100" t="s">
        <v>1437</v>
      </c>
      <c r="E80" s="101" t="s">
        <v>2133</v>
      </c>
      <c r="F80" s="102" t="s">
        <v>2080</v>
      </c>
      <c r="G80" s="100" t="s">
        <v>12</v>
      </c>
      <c r="H80" t="s">
        <v>2127</v>
      </c>
    </row>
    <row r="81" spans="1:8" ht="58">
      <c r="A81" s="103" t="s">
        <v>2125</v>
      </c>
      <c r="B81" s="103" t="str">
        <f t="shared" si="1"/>
        <v>8C</v>
      </c>
      <c r="C81" s="99">
        <v>1</v>
      </c>
      <c r="D81" s="100" t="s">
        <v>1439</v>
      </c>
      <c r="E81" s="101" t="s">
        <v>2134</v>
      </c>
      <c r="F81" s="102" t="s">
        <v>2080</v>
      </c>
      <c r="G81" s="100" t="s">
        <v>12</v>
      </c>
      <c r="H81" t="s">
        <v>2127</v>
      </c>
    </row>
    <row r="82" spans="1:8" ht="58">
      <c r="A82" s="103" t="s">
        <v>2135</v>
      </c>
      <c r="B82" s="103" t="str">
        <f t="shared" si="1"/>
        <v>8D</v>
      </c>
      <c r="C82" s="99">
        <v>1</v>
      </c>
      <c r="D82" s="100" t="s">
        <v>1424</v>
      </c>
      <c r="E82" s="101" t="s">
        <v>2136</v>
      </c>
      <c r="F82" s="102" t="s">
        <v>2080</v>
      </c>
      <c r="G82" s="100" t="s">
        <v>12</v>
      </c>
      <c r="H82" t="s">
        <v>2137</v>
      </c>
    </row>
    <row r="83" spans="1:8" ht="58">
      <c r="A83" s="103" t="s">
        <v>2135</v>
      </c>
      <c r="B83" s="103" t="str">
        <f t="shared" si="1"/>
        <v>8D</v>
      </c>
      <c r="C83" s="99">
        <v>1</v>
      </c>
      <c r="D83" s="100" t="s">
        <v>1427</v>
      </c>
      <c r="E83" s="101" t="s">
        <v>2138</v>
      </c>
      <c r="F83" s="102" t="s">
        <v>2080</v>
      </c>
      <c r="G83" s="100" t="s">
        <v>12</v>
      </c>
      <c r="H83" t="s">
        <v>2137</v>
      </c>
    </row>
    <row r="84" spans="1:8" ht="58">
      <c r="A84" s="103" t="s">
        <v>2135</v>
      </c>
      <c r="B84" s="103" t="str">
        <f t="shared" si="1"/>
        <v>8D</v>
      </c>
      <c r="C84" s="99">
        <v>1</v>
      </c>
      <c r="D84" s="100" t="s">
        <v>1429</v>
      </c>
      <c r="E84" s="101" t="s">
        <v>2139</v>
      </c>
      <c r="F84" s="102" t="s">
        <v>2080</v>
      </c>
      <c r="G84" s="100" t="s">
        <v>12</v>
      </c>
      <c r="H84" t="s">
        <v>2137</v>
      </c>
    </row>
    <row r="85" spans="1:8" ht="58">
      <c r="A85" s="103" t="s">
        <v>2135</v>
      </c>
      <c r="B85" s="103" t="str">
        <f t="shared" si="1"/>
        <v>8D</v>
      </c>
      <c r="C85" s="99">
        <v>1</v>
      </c>
      <c r="D85" s="100" t="s">
        <v>1431</v>
      </c>
      <c r="E85" s="101" t="s">
        <v>2140</v>
      </c>
      <c r="F85" s="102" t="s">
        <v>2080</v>
      </c>
      <c r="G85" s="100" t="s">
        <v>12</v>
      </c>
      <c r="H85" t="s">
        <v>2137</v>
      </c>
    </row>
    <row r="86" spans="1:8" ht="58">
      <c r="A86" s="103" t="s">
        <v>2135</v>
      </c>
      <c r="B86" s="103" t="str">
        <f t="shared" si="1"/>
        <v>8D</v>
      </c>
      <c r="C86" s="99">
        <v>1</v>
      </c>
      <c r="D86" s="100" t="s">
        <v>1433</v>
      </c>
      <c r="E86" s="101" t="s">
        <v>2141</v>
      </c>
      <c r="F86" s="102" t="s">
        <v>2080</v>
      </c>
      <c r="G86" s="100" t="s">
        <v>12</v>
      </c>
      <c r="H86" t="s">
        <v>2137</v>
      </c>
    </row>
    <row r="87" spans="1:8" ht="58">
      <c r="A87" s="103" t="s">
        <v>2135</v>
      </c>
      <c r="B87" s="103" t="str">
        <f t="shared" si="1"/>
        <v>8D</v>
      </c>
      <c r="C87" s="99">
        <v>1</v>
      </c>
      <c r="D87" s="100" t="s">
        <v>1435</v>
      </c>
      <c r="E87" s="101" t="s">
        <v>2142</v>
      </c>
      <c r="F87" s="102" t="s">
        <v>2080</v>
      </c>
      <c r="G87" s="100" t="s">
        <v>12</v>
      </c>
      <c r="H87" t="s">
        <v>2137</v>
      </c>
    </row>
    <row r="88" spans="1:8" ht="58">
      <c r="A88" s="103" t="s">
        <v>2135</v>
      </c>
      <c r="B88" s="103" t="str">
        <f t="shared" si="1"/>
        <v>8D</v>
      </c>
      <c r="C88" s="99">
        <v>1</v>
      </c>
      <c r="D88" s="100" t="s">
        <v>1437</v>
      </c>
      <c r="E88" s="101" t="s">
        <v>2143</v>
      </c>
      <c r="F88" s="102" t="s">
        <v>2080</v>
      </c>
      <c r="G88" s="100" t="s">
        <v>12</v>
      </c>
      <c r="H88" t="s">
        <v>2137</v>
      </c>
    </row>
    <row r="89" spans="1:8" ht="58">
      <c r="A89" s="103" t="s">
        <v>2135</v>
      </c>
      <c r="B89" s="103" t="str">
        <f t="shared" si="1"/>
        <v>8D</v>
      </c>
      <c r="C89" s="99">
        <v>1</v>
      </c>
      <c r="D89" s="100" t="s">
        <v>1439</v>
      </c>
      <c r="E89" s="101" t="s">
        <v>2144</v>
      </c>
      <c r="F89" s="102" t="s">
        <v>2080</v>
      </c>
      <c r="G89" s="100" t="s">
        <v>12</v>
      </c>
      <c r="H89" t="s">
        <v>2137</v>
      </c>
    </row>
    <row r="90" spans="1:8" ht="58">
      <c r="A90" s="103" t="s">
        <v>2145</v>
      </c>
      <c r="B90" s="103" t="str">
        <f t="shared" si="1"/>
        <v>8E</v>
      </c>
      <c r="C90" s="99">
        <v>1</v>
      </c>
      <c r="D90" s="100" t="s">
        <v>1424</v>
      </c>
      <c r="E90" s="101" t="s">
        <v>2146</v>
      </c>
      <c r="F90" s="102" t="s">
        <v>2080</v>
      </c>
      <c r="G90" s="100" t="s">
        <v>12</v>
      </c>
      <c r="H90" t="s">
        <v>2147</v>
      </c>
    </row>
    <row r="91" spans="1:8" ht="58">
      <c r="A91" s="103" t="s">
        <v>2145</v>
      </c>
      <c r="B91" s="103" t="str">
        <f t="shared" si="1"/>
        <v>8E</v>
      </c>
      <c r="C91" s="99">
        <v>1</v>
      </c>
      <c r="D91" s="100" t="s">
        <v>1427</v>
      </c>
      <c r="E91" s="101" t="s">
        <v>2148</v>
      </c>
      <c r="F91" s="102" t="s">
        <v>2080</v>
      </c>
      <c r="G91" s="100" t="s">
        <v>12</v>
      </c>
      <c r="H91" t="s">
        <v>2147</v>
      </c>
    </row>
    <row r="92" spans="1:8" ht="58">
      <c r="A92" s="103" t="s">
        <v>2145</v>
      </c>
      <c r="B92" s="103" t="str">
        <f t="shared" si="1"/>
        <v>8E</v>
      </c>
      <c r="C92" s="99">
        <v>1</v>
      </c>
      <c r="D92" s="100" t="s">
        <v>1429</v>
      </c>
      <c r="E92" s="101" t="s">
        <v>2149</v>
      </c>
      <c r="F92" s="102" t="s">
        <v>2080</v>
      </c>
      <c r="G92" s="100" t="s">
        <v>12</v>
      </c>
      <c r="H92" t="s">
        <v>2147</v>
      </c>
    </row>
    <row r="93" spans="1:8" ht="58">
      <c r="A93" s="103" t="s">
        <v>2145</v>
      </c>
      <c r="B93" s="103" t="str">
        <f t="shared" si="1"/>
        <v>8E</v>
      </c>
      <c r="C93" s="99">
        <v>1</v>
      </c>
      <c r="D93" s="100" t="s">
        <v>1431</v>
      </c>
      <c r="E93" s="101" t="s">
        <v>2150</v>
      </c>
      <c r="F93" s="102" t="s">
        <v>2080</v>
      </c>
      <c r="G93" s="100" t="s">
        <v>12</v>
      </c>
      <c r="H93" t="s">
        <v>2147</v>
      </c>
    </row>
    <row r="94" spans="1:8" ht="58">
      <c r="A94" s="103" t="s">
        <v>2145</v>
      </c>
      <c r="B94" s="103" t="str">
        <f t="shared" si="1"/>
        <v>8E</v>
      </c>
      <c r="C94" s="99">
        <v>1</v>
      </c>
      <c r="D94" s="100" t="s">
        <v>1433</v>
      </c>
      <c r="E94" s="101" t="s">
        <v>2151</v>
      </c>
      <c r="F94" s="102" t="s">
        <v>2080</v>
      </c>
      <c r="G94" s="100" t="s">
        <v>12</v>
      </c>
      <c r="H94" t="s">
        <v>2147</v>
      </c>
    </row>
    <row r="95" spans="1:8" ht="58">
      <c r="A95" s="103" t="s">
        <v>2145</v>
      </c>
      <c r="B95" s="103" t="str">
        <f t="shared" si="1"/>
        <v>8E</v>
      </c>
      <c r="C95" s="99">
        <v>1</v>
      </c>
      <c r="D95" s="100" t="s">
        <v>1435</v>
      </c>
      <c r="E95" s="101" t="s">
        <v>2152</v>
      </c>
      <c r="F95" s="102" t="s">
        <v>2080</v>
      </c>
      <c r="G95" s="100" t="s">
        <v>12</v>
      </c>
      <c r="H95" t="s">
        <v>2147</v>
      </c>
    </row>
    <row r="96" spans="1:8" ht="58">
      <c r="A96" s="103" t="s">
        <v>2145</v>
      </c>
      <c r="B96" s="103" t="str">
        <f t="shared" si="1"/>
        <v>8E</v>
      </c>
      <c r="C96" s="99">
        <v>1</v>
      </c>
      <c r="D96" s="100" t="s">
        <v>1437</v>
      </c>
      <c r="E96" s="101" t="s">
        <v>2153</v>
      </c>
      <c r="F96" s="102" t="s">
        <v>2080</v>
      </c>
      <c r="G96" s="100" t="s">
        <v>12</v>
      </c>
      <c r="H96" t="s">
        <v>2147</v>
      </c>
    </row>
    <row r="97" spans="1:8" ht="58">
      <c r="A97" s="103" t="s">
        <v>2145</v>
      </c>
      <c r="B97" s="103" t="str">
        <f t="shared" si="1"/>
        <v>8E</v>
      </c>
      <c r="C97" s="99">
        <v>1</v>
      </c>
      <c r="D97" s="100" t="s">
        <v>1439</v>
      </c>
      <c r="E97" s="101" t="s">
        <v>2154</v>
      </c>
      <c r="F97" s="102" t="s">
        <v>2080</v>
      </c>
      <c r="G97" s="100" t="s">
        <v>12</v>
      </c>
      <c r="H97" t="s">
        <v>2147</v>
      </c>
    </row>
    <row r="98" spans="1:8" ht="58">
      <c r="A98" s="103" t="s">
        <v>1538</v>
      </c>
      <c r="B98" s="103" t="str">
        <f t="shared" si="1"/>
        <v>8F</v>
      </c>
      <c r="C98" s="99">
        <v>1</v>
      </c>
      <c r="D98" s="100" t="s">
        <v>1424</v>
      </c>
      <c r="E98" s="101" t="s">
        <v>2155</v>
      </c>
      <c r="F98" s="102" t="s">
        <v>2080</v>
      </c>
      <c r="G98" s="100" t="s">
        <v>12</v>
      </c>
      <c r="H98" t="s">
        <v>2156</v>
      </c>
    </row>
    <row r="99" spans="1:8" ht="58">
      <c r="A99" s="103" t="s">
        <v>1538</v>
      </c>
      <c r="B99" s="103" t="str">
        <f t="shared" si="1"/>
        <v>8F</v>
      </c>
      <c r="C99" s="99">
        <v>1</v>
      </c>
      <c r="D99" s="100" t="s">
        <v>1427</v>
      </c>
      <c r="E99" s="101" t="s">
        <v>2157</v>
      </c>
      <c r="F99" s="102" t="s">
        <v>2080</v>
      </c>
      <c r="G99" s="100" t="s">
        <v>12</v>
      </c>
      <c r="H99" t="s">
        <v>2156</v>
      </c>
    </row>
    <row r="100" spans="1:8" ht="58">
      <c r="A100" s="103" t="s">
        <v>1538</v>
      </c>
      <c r="B100" s="103" t="str">
        <f t="shared" si="1"/>
        <v>8F</v>
      </c>
      <c r="C100" s="99">
        <v>1</v>
      </c>
      <c r="D100" s="100" t="s">
        <v>1429</v>
      </c>
      <c r="E100" s="101" t="s">
        <v>2158</v>
      </c>
      <c r="F100" s="102" t="s">
        <v>2080</v>
      </c>
      <c r="G100" s="100" t="s">
        <v>12</v>
      </c>
      <c r="H100" t="s">
        <v>2156</v>
      </c>
    </row>
    <row r="101" spans="1:8" ht="58">
      <c r="A101" s="103" t="s">
        <v>1538</v>
      </c>
      <c r="B101" s="103" t="str">
        <f t="shared" si="1"/>
        <v>8F</v>
      </c>
      <c r="C101" s="99">
        <v>1</v>
      </c>
      <c r="D101" s="100" t="s">
        <v>1431</v>
      </c>
      <c r="E101" s="101" t="s">
        <v>2159</v>
      </c>
      <c r="F101" s="102" t="s">
        <v>2080</v>
      </c>
      <c r="G101" s="100" t="s">
        <v>12</v>
      </c>
      <c r="H101" t="s">
        <v>2156</v>
      </c>
    </row>
    <row r="102" spans="1:8" ht="58">
      <c r="A102" s="103" t="s">
        <v>1538</v>
      </c>
      <c r="B102" s="103" t="str">
        <f t="shared" si="1"/>
        <v>8F</v>
      </c>
      <c r="C102" s="99">
        <v>1</v>
      </c>
      <c r="D102" s="100" t="s">
        <v>1433</v>
      </c>
      <c r="E102" s="101" t="s">
        <v>2160</v>
      </c>
      <c r="F102" s="102" t="s">
        <v>2080</v>
      </c>
      <c r="G102" s="100" t="s">
        <v>12</v>
      </c>
      <c r="H102" t="s">
        <v>2156</v>
      </c>
    </row>
    <row r="103" spans="1:8" ht="58">
      <c r="A103" s="103" t="s">
        <v>1538</v>
      </c>
      <c r="B103" s="103" t="str">
        <f t="shared" si="1"/>
        <v>8F</v>
      </c>
      <c r="C103" s="99">
        <v>1</v>
      </c>
      <c r="D103" s="100" t="s">
        <v>1435</v>
      </c>
      <c r="E103" s="101" t="s">
        <v>2161</v>
      </c>
      <c r="F103" s="102" t="s">
        <v>2080</v>
      </c>
      <c r="G103" s="100" t="s">
        <v>12</v>
      </c>
      <c r="H103" t="s">
        <v>2156</v>
      </c>
    </row>
    <row r="104" spans="1:8" ht="58">
      <c r="A104" s="103" t="s">
        <v>1538</v>
      </c>
      <c r="B104" s="103" t="str">
        <f t="shared" si="1"/>
        <v>8F</v>
      </c>
      <c r="C104" s="99">
        <v>1</v>
      </c>
      <c r="D104" s="100" t="s">
        <v>1437</v>
      </c>
      <c r="E104" s="101" t="s">
        <v>2162</v>
      </c>
      <c r="F104" s="102" t="s">
        <v>2080</v>
      </c>
      <c r="G104" s="100" t="s">
        <v>12</v>
      </c>
      <c r="H104" t="s">
        <v>2156</v>
      </c>
    </row>
    <row r="105" spans="1:8" ht="58">
      <c r="A105" s="103" t="s">
        <v>1538</v>
      </c>
      <c r="B105" s="103" t="str">
        <f t="shared" si="1"/>
        <v>8F</v>
      </c>
      <c r="C105" s="99">
        <v>1</v>
      </c>
      <c r="D105" s="100" t="s">
        <v>1439</v>
      </c>
      <c r="E105" s="101" t="s">
        <v>2163</v>
      </c>
      <c r="F105" s="102" t="s">
        <v>2080</v>
      </c>
      <c r="G105" s="100" t="s">
        <v>12</v>
      </c>
      <c r="H105" t="s">
        <v>2156</v>
      </c>
    </row>
    <row r="106" spans="1:8" ht="58">
      <c r="A106" s="103" t="s">
        <v>1549</v>
      </c>
      <c r="B106" s="103" t="str">
        <f t="shared" si="1"/>
        <v>90</v>
      </c>
      <c r="C106" s="99">
        <v>1</v>
      </c>
      <c r="D106" s="100" t="s">
        <v>1424</v>
      </c>
      <c r="E106" s="101" t="s">
        <v>2164</v>
      </c>
      <c r="F106" s="102" t="s">
        <v>2080</v>
      </c>
      <c r="G106" s="100" t="s">
        <v>12</v>
      </c>
      <c r="H106" t="s">
        <v>2165</v>
      </c>
    </row>
    <row r="107" spans="1:8" ht="58">
      <c r="A107" s="103" t="s">
        <v>1549</v>
      </c>
      <c r="B107" s="103" t="str">
        <f t="shared" si="1"/>
        <v>90</v>
      </c>
      <c r="C107" s="99">
        <v>1</v>
      </c>
      <c r="D107" s="100" t="s">
        <v>1427</v>
      </c>
      <c r="E107" s="101" t="s">
        <v>2166</v>
      </c>
      <c r="F107" s="102" t="s">
        <v>2080</v>
      </c>
      <c r="G107" s="100" t="s">
        <v>12</v>
      </c>
      <c r="H107" t="s">
        <v>2165</v>
      </c>
    </row>
    <row r="108" spans="1:8" ht="58">
      <c r="A108" s="103" t="s">
        <v>1549</v>
      </c>
      <c r="B108" s="103" t="str">
        <f t="shared" si="1"/>
        <v>90</v>
      </c>
      <c r="C108" s="99">
        <v>1</v>
      </c>
      <c r="D108" s="100" t="s">
        <v>1429</v>
      </c>
      <c r="E108" s="101" t="s">
        <v>2167</v>
      </c>
      <c r="F108" s="102" t="s">
        <v>2080</v>
      </c>
      <c r="G108" s="100" t="s">
        <v>12</v>
      </c>
      <c r="H108" t="s">
        <v>2165</v>
      </c>
    </row>
    <row r="109" spans="1:8" ht="58">
      <c r="A109" s="103" t="s">
        <v>1549</v>
      </c>
      <c r="B109" s="103" t="str">
        <f t="shared" si="1"/>
        <v>90</v>
      </c>
      <c r="C109" s="99">
        <v>1</v>
      </c>
      <c r="D109" s="100" t="s">
        <v>1431</v>
      </c>
      <c r="E109" s="101" t="s">
        <v>2168</v>
      </c>
      <c r="F109" s="102" t="s">
        <v>2080</v>
      </c>
      <c r="G109" s="100" t="s">
        <v>12</v>
      </c>
      <c r="H109" t="s">
        <v>2165</v>
      </c>
    </row>
    <row r="110" spans="1:8" ht="58">
      <c r="A110" s="103" t="s">
        <v>1549</v>
      </c>
      <c r="B110" s="103" t="str">
        <f t="shared" si="1"/>
        <v>90</v>
      </c>
      <c r="C110" s="99">
        <v>1</v>
      </c>
      <c r="D110" s="100" t="s">
        <v>1433</v>
      </c>
      <c r="E110" s="101" t="s">
        <v>2169</v>
      </c>
      <c r="F110" s="102" t="s">
        <v>2080</v>
      </c>
      <c r="G110" s="100" t="s">
        <v>12</v>
      </c>
      <c r="H110" t="s">
        <v>2165</v>
      </c>
    </row>
    <row r="111" spans="1:8" ht="58">
      <c r="A111" s="103" t="s">
        <v>1549</v>
      </c>
      <c r="B111" s="103" t="str">
        <f t="shared" si="1"/>
        <v>90</v>
      </c>
      <c r="C111" s="99">
        <v>1</v>
      </c>
      <c r="D111" s="100" t="s">
        <v>1435</v>
      </c>
      <c r="E111" s="101" t="s">
        <v>2170</v>
      </c>
      <c r="F111" s="102" t="s">
        <v>2080</v>
      </c>
      <c r="G111" s="100" t="s">
        <v>12</v>
      </c>
      <c r="H111" t="s">
        <v>2165</v>
      </c>
    </row>
    <row r="112" spans="1:8" ht="58">
      <c r="A112" s="103" t="s">
        <v>1549</v>
      </c>
      <c r="B112" s="103" t="str">
        <f t="shared" si="1"/>
        <v>90</v>
      </c>
      <c r="C112" s="99">
        <v>1</v>
      </c>
      <c r="D112" s="100" t="s">
        <v>1437</v>
      </c>
      <c r="E112" s="101" t="s">
        <v>2171</v>
      </c>
      <c r="F112" s="102" t="s">
        <v>2080</v>
      </c>
      <c r="G112" s="100" t="s">
        <v>12</v>
      </c>
      <c r="H112" t="s">
        <v>2165</v>
      </c>
    </row>
    <row r="113" spans="1:8" ht="58">
      <c r="A113" s="103" t="s">
        <v>1549</v>
      </c>
      <c r="B113" s="103" t="str">
        <f t="shared" si="1"/>
        <v>90</v>
      </c>
      <c r="C113" s="99">
        <v>1</v>
      </c>
      <c r="D113" s="100" t="s">
        <v>1439</v>
      </c>
      <c r="E113" s="101" t="s">
        <v>2172</v>
      </c>
      <c r="F113" s="102" t="s">
        <v>2080</v>
      </c>
      <c r="G113" s="100" t="s">
        <v>12</v>
      </c>
      <c r="H113" t="s">
        <v>2165</v>
      </c>
    </row>
    <row r="114" spans="1:8" ht="58">
      <c r="A114" s="103" t="s">
        <v>1560</v>
      </c>
      <c r="B114" s="103" t="str">
        <f t="shared" si="1"/>
        <v>91</v>
      </c>
      <c r="C114" s="99">
        <v>1</v>
      </c>
      <c r="D114" s="100" t="s">
        <v>1424</v>
      </c>
      <c r="E114" s="101" t="s">
        <v>2173</v>
      </c>
      <c r="F114" s="102" t="s">
        <v>2080</v>
      </c>
      <c r="G114" s="100" t="s">
        <v>12</v>
      </c>
      <c r="H114" t="s">
        <v>2174</v>
      </c>
    </row>
    <row r="115" spans="1:8" ht="58">
      <c r="A115" s="103" t="s">
        <v>1560</v>
      </c>
      <c r="B115" s="103" t="str">
        <f t="shared" si="1"/>
        <v>91</v>
      </c>
      <c r="C115" s="99">
        <v>1</v>
      </c>
      <c r="D115" s="100" t="s">
        <v>1427</v>
      </c>
      <c r="E115" s="101" t="s">
        <v>2175</v>
      </c>
      <c r="F115" s="102" t="s">
        <v>2080</v>
      </c>
      <c r="G115" s="100" t="s">
        <v>12</v>
      </c>
      <c r="H115" t="s">
        <v>2174</v>
      </c>
    </row>
    <row r="116" spans="1:8" ht="58">
      <c r="A116" s="103" t="s">
        <v>1560</v>
      </c>
      <c r="B116" s="103" t="str">
        <f t="shared" si="1"/>
        <v>91</v>
      </c>
      <c r="C116" s="99">
        <v>1</v>
      </c>
      <c r="D116" s="100" t="s">
        <v>1429</v>
      </c>
      <c r="E116" s="101" t="s">
        <v>2176</v>
      </c>
      <c r="F116" s="102" t="s">
        <v>2080</v>
      </c>
      <c r="G116" s="100" t="s">
        <v>12</v>
      </c>
      <c r="H116" t="s">
        <v>2174</v>
      </c>
    </row>
    <row r="117" spans="1:8" ht="58">
      <c r="A117" s="103" t="s">
        <v>1560</v>
      </c>
      <c r="B117" s="103" t="str">
        <f t="shared" si="1"/>
        <v>91</v>
      </c>
      <c r="C117" s="99">
        <v>1</v>
      </c>
      <c r="D117" s="100" t="s">
        <v>1431</v>
      </c>
      <c r="E117" s="101" t="s">
        <v>2177</v>
      </c>
      <c r="F117" s="102" t="s">
        <v>2080</v>
      </c>
      <c r="G117" s="100" t="s">
        <v>12</v>
      </c>
      <c r="H117" t="s">
        <v>2174</v>
      </c>
    </row>
    <row r="118" spans="1:8" ht="58">
      <c r="A118" s="103" t="s">
        <v>1560</v>
      </c>
      <c r="B118" s="103" t="str">
        <f t="shared" si="1"/>
        <v>91</v>
      </c>
      <c r="C118" s="99">
        <v>1</v>
      </c>
      <c r="D118" s="100" t="s">
        <v>1433</v>
      </c>
      <c r="E118" s="101" t="s">
        <v>2178</v>
      </c>
      <c r="F118" s="102" t="s">
        <v>2080</v>
      </c>
      <c r="G118" s="100" t="s">
        <v>12</v>
      </c>
      <c r="H118" t="s">
        <v>2174</v>
      </c>
    </row>
    <row r="119" spans="1:8" ht="58">
      <c r="A119" s="103" t="s">
        <v>1560</v>
      </c>
      <c r="B119" s="103" t="str">
        <f t="shared" si="1"/>
        <v>91</v>
      </c>
      <c r="C119" s="99">
        <v>1</v>
      </c>
      <c r="D119" s="100" t="s">
        <v>1435</v>
      </c>
      <c r="E119" s="101" t="s">
        <v>2179</v>
      </c>
      <c r="F119" s="102" t="s">
        <v>2080</v>
      </c>
      <c r="G119" s="100" t="s">
        <v>12</v>
      </c>
      <c r="H119" t="s">
        <v>2174</v>
      </c>
    </row>
    <row r="120" spans="1:8" ht="58">
      <c r="A120" s="103" t="s">
        <v>1560</v>
      </c>
      <c r="B120" s="103" t="str">
        <f t="shared" si="1"/>
        <v>91</v>
      </c>
      <c r="C120" s="99">
        <v>1</v>
      </c>
      <c r="D120" s="100" t="s">
        <v>1437</v>
      </c>
      <c r="E120" s="101" t="s">
        <v>2180</v>
      </c>
      <c r="F120" s="102" t="s">
        <v>2080</v>
      </c>
      <c r="G120" s="100" t="s">
        <v>12</v>
      </c>
      <c r="H120" t="s">
        <v>2174</v>
      </c>
    </row>
    <row r="121" spans="1:8" ht="58">
      <c r="A121" s="103" t="s">
        <v>1560</v>
      </c>
      <c r="B121" s="103" t="str">
        <f t="shared" si="1"/>
        <v>91</v>
      </c>
      <c r="C121" s="99">
        <v>1</v>
      </c>
      <c r="D121" s="100" t="s">
        <v>1439</v>
      </c>
      <c r="E121" s="101" t="s">
        <v>2181</v>
      </c>
      <c r="F121" s="102" t="s">
        <v>2080</v>
      </c>
      <c r="G121" s="100" t="s">
        <v>12</v>
      </c>
      <c r="H121" t="s">
        <v>2174</v>
      </c>
    </row>
    <row r="122" spans="1:8" ht="58">
      <c r="A122" s="103" t="s">
        <v>1567</v>
      </c>
      <c r="B122" s="103" t="str">
        <f t="shared" si="1"/>
        <v>92</v>
      </c>
      <c r="C122" s="99">
        <v>1</v>
      </c>
      <c r="D122" s="100" t="s">
        <v>1424</v>
      </c>
      <c r="E122" s="101" t="s">
        <v>2182</v>
      </c>
      <c r="F122" s="102" t="s">
        <v>2080</v>
      </c>
      <c r="G122" s="100" t="s">
        <v>12</v>
      </c>
      <c r="H122" t="s">
        <v>2183</v>
      </c>
    </row>
    <row r="123" spans="1:8" ht="58">
      <c r="A123" s="103" t="s">
        <v>1567</v>
      </c>
      <c r="B123" s="103" t="str">
        <f t="shared" si="1"/>
        <v>92</v>
      </c>
      <c r="C123" s="99">
        <v>1</v>
      </c>
      <c r="D123" s="100" t="s">
        <v>1427</v>
      </c>
      <c r="E123" s="101" t="s">
        <v>2184</v>
      </c>
      <c r="F123" s="102" t="s">
        <v>2080</v>
      </c>
      <c r="G123" s="100" t="s">
        <v>12</v>
      </c>
      <c r="H123" t="s">
        <v>2183</v>
      </c>
    </row>
    <row r="124" spans="1:8" ht="58">
      <c r="A124" s="103" t="s">
        <v>1567</v>
      </c>
      <c r="B124" s="103" t="str">
        <f t="shared" si="1"/>
        <v>92</v>
      </c>
      <c r="C124" s="99">
        <v>1</v>
      </c>
      <c r="D124" s="100" t="s">
        <v>1429</v>
      </c>
      <c r="E124" s="101" t="s">
        <v>2185</v>
      </c>
      <c r="F124" s="102" t="s">
        <v>2080</v>
      </c>
      <c r="G124" s="100" t="s">
        <v>12</v>
      </c>
      <c r="H124" t="s">
        <v>2183</v>
      </c>
    </row>
    <row r="125" spans="1:8" ht="58">
      <c r="A125" s="103" t="s">
        <v>1567</v>
      </c>
      <c r="B125" s="103" t="str">
        <f t="shared" si="1"/>
        <v>92</v>
      </c>
      <c r="C125" s="99">
        <v>1</v>
      </c>
      <c r="D125" s="100" t="s">
        <v>1431</v>
      </c>
      <c r="E125" s="101" t="s">
        <v>2186</v>
      </c>
      <c r="F125" s="102" t="s">
        <v>2080</v>
      </c>
      <c r="G125" s="100" t="s">
        <v>12</v>
      </c>
      <c r="H125" t="s">
        <v>2183</v>
      </c>
    </row>
    <row r="126" spans="1:8" ht="58">
      <c r="A126" s="103" t="s">
        <v>1567</v>
      </c>
      <c r="B126" s="103" t="str">
        <f t="shared" si="1"/>
        <v>92</v>
      </c>
      <c r="C126" s="99">
        <v>1</v>
      </c>
      <c r="D126" s="100" t="s">
        <v>1433</v>
      </c>
      <c r="E126" s="101" t="s">
        <v>2187</v>
      </c>
      <c r="F126" s="102" t="s">
        <v>2080</v>
      </c>
      <c r="G126" s="100" t="s">
        <v>12</v>
      </c>
      <c r="H126" t="s">
        <v>2183</v>
      </c>
    </row>
    <row r="127" spans="1:8" ht="58">
      <c r="A127" s="103" t="s">
        <v>1567</v>
      </c>
      <c r="B127" s="103" t="str">
        <f t="shared" si="1"/>
        <v>92</v>
      </c>
      <c r="C127" s="99">
        <v>1</v>
      </c>
      <c r="D127" s="100" t="s">
        <v>1435</v>
      </c>
      <c r="E127" s="101" t="s">
        <v>2188</v>
      </c>
      <c r="F127" s="102" t="s">
        <v>2080</v>
      </c>
      <c r="G127" s="100" t="s">
        <v>12</v>
      </c>
      <c r="H127" t="s">
        <v>2183</v>
      </c>
    </row>
    <row r="128" spans="1:8" ht="58">
      <c r="A128" s="103" t="s">
        <v>1567</v>
      </c>
      <c r="B128" s="103" t="str">
        <f t="shared" si="1"/>
        <v>92</v>
      </c>
      <c r="C128" s="99">
        <v>1</v>
      </c>
      <c r="D128" s="100" t="s">
        <v>1437</v>
      </c>
      <c r="E128" s="101" t="s">
        <v>2189</v>
      </c>
      <c r="F128" s="102" t="s">
        <v>2080</v>
      </c>
      <c r="G128" s="100" t="s">
        <v>12</v>
      </c>
      <c r="H128" t="s">
        <v>2183</v>
      </c>
    </row>
    <row r="129" spans="1:8" ht="58">
      <c r="A129" s="103" t="s">
        <v>1567</v>
      </c>
      <c r="B129" s="103" t="str">
        <f t="shared" si="1"/>
        <v>92</v>
      </c>
      <c r="C129" s="99">
        <v>1</v>
      </c>
      <c r="D129" s="100" t="s">
        <v>1439</v>
      </c>
      <c r="E129" s="101" t="s">
        <v>2190</v>
      </c>
      <c r="F129" s="102" t="s">
        <v>2080</v>
      </c>
      <c r="G129" s="100" t="s">
        <v>12</v>
      </c>
      <c r="H129" t="s">
        <v>2183</v>
      </c>
    </row>
    <row r="130" spans="1:8" ht="29">
      <c r="A130" s="103" t="s">
        <v>1571</v>
      </c>
      <c r="B130" s="103" t="str">
        <f t="shared" ref="B130:B193" si="2">DEC2HEX(A130, 2)</f>
        <v>93</v>
      </c>
      <c r="C130" s="99">
        <v>1</v>
      </c>
      <c r="D130" s="100" t="s">
        <v>1424</v>
      </c>
      <c r="E130" s="101" t="s">
        <v>2191</v>
      </c>
      <c r="F130" s="102" t="s">
        <v>2080</v>
      </c>
      <c r="G130" s="100" t="s">
        <v>12</v>
      </c>
      <c r="H130" t="s">
        <v>2192</v>
      </c>
    </row>
    <row r="131" spans="1:8" ht="29">
      <c r="A131" s="103" t="s">
        <v>1571</v>
      </c>
      <c r="B131" s="103" t="str">
        <f t="shared" si="2"/>
        <v>93</v>
      </c>
      <c r="C131" s="99">
        <v>1</v>
      </c>
      <c r="D131" s="100" t="s">
        <v>1427</v>
      </c>
      <c r="E131" s="101" t="s">
        <v>2193</v>
      </c>
      <c r="F131" s="102" t="s">
        <v>2080</v>
      </c>
      <c r="G131" s="100" t="s">
        <v>12</v>
      </c>
      <c r="H131" t="s">
        <v>2192</v>
      </c>
    </row>
    <row r="132" spans="1:8" ht="29">
      <c r="A132" s="103" t="s">
        <v>1571</v>
      </c>
      <c r="B132" s="103" t="str">
        <f t="shared" si="2"/>
        <v>93</v>
      </c>
      <c r="C132" s="99">
        <v>1</v>
      </c>
      <c r="D132" s="100" t="s">
        <v>1429</v>
      </c>
      <c r="E132" s="101" t="s">
        <v>2194</v>
      </c>
      <c r="F132" s="102" t="s">
        <v>2080</v>
      </c>
      <c r="G132" s="100" t="s">
        <v>12</v>
      </c>
      <c r="H132" t="s">
        <v>2192</v>
      </c>
    </row>
    <row r="133" spans="1:8" ht="29">
      <c r="A133" s="103" t="s">
        <v>1571</v>
      </c>
      <c r="B133" s="103" t="str">
        <f t="shared" si="2"/>
        <v>93</v>
      </c>
      <c r="C133" s="99">
        <v>1</v>
      </c>
      <c r="D133" s="100" t="s">
        <v>1431</v>
      </c>
      <c r="E133" s="101" t="s">
        <v>2195</v>
      </c>
      <c r="F133" s="102" t="s">
        <v>2080</v>
      </c>
      <c r="G133" s="100" t="s">
        <v>12</v>
      </c>
      <c r="H133" t="s">
        <v>2192</v>
      </c>
    </row>
    <row r="134" spans="1:8" ht="29">
      <c r="A134" s="103" t="s">
        <v>1571</v>
      </c>
      <c r="B134" s="103" t="str">
        <f t="shared" si="2"/>
        <v>93</v>
      </c>
      <c r="C134" s="99">
        <v>1</v>
      </c>
      <c r="D134" s="100" t="s">
        <v>1433</v>
      </c>
      <c r="E134" s="101" t="s">
        <v>2196</v>
      </c>
      <c r="F134" s="102" t="s">
        <v>2080</v>
      </c>
      <c r="G134" s="100" t="s">
        <v>12</v>
      </c>
      <c r="H134" t="s">
        <v>2192</v>
      </c>
    </row>
    <row r="135" spans="1:8" ht="29">
      <c r="A135" s="103" t="s">
        <v>1571</v>
      </c>
      <c r="B135" s="103" t="str">
        <f t="shared" si="2"/>
        <v>93</v>
      </c>
      <c r="C135" s="99">
        <v>1</v>
      </c>
      <c r="D135" s="100" t="s">
        <v>1435</v>
      </c>
      <c r="E135" s="101" t="s">
        <v>2197</v>
      </c>
      <c r="F135" s="102" t="s">
        <v>2080</v>
      </c>
      <c r="G135" s="100" t="s">
        <v>12</v>
      </c>
      <c r="H135" t="s">
        <v>2192</v>
      </c>
    </row>
    <row r="136" spans="1:8" ht="29">
      <c r="A136" s="103" t="s">
        <v>1571</v>
      </c>
      <c r="B136" s="103" t="str">
        <f t="shared" si="2"/>
        <v>93</v>
      </c>
      <c r="C136" s="99">
        <v>1</v>
      </c>
      <c r="D136" s="100" t="s">
        <v>1437</v>
      </c>
      <c r="E136" s="101" t="s">
        <v>2198</v>
      </c>
      <c r="F136" s="102" t="s">
        <v>2080</v>
      </c>
      <c r="G136" s="100" t="s">
        <v>12</v>
      </c>
      <c r="H136" t="s">
        <v>2192</v>
      </c>
    </row>
    <row r="137" spans="1:8" ht="29">
      <c r="A137" s="103" t="s">
        <v>1571</v>
      </c>
      <c r="B137" s="103" t="str">
        <f t="shared" si="2"/>
        <v>93</v>
      </c>
      <c r="C137" s="99">
        <v>1</v>
      </c>
      <c r="D137" s="100" t="s">
        <v>1439</v>
      </c>
      <c r="E137" s="101" t="s">
        <v>2199</v>
      </c>
      <c r="F137" s="102" t="s">
        <v>2080</v>
      </c>
      <c r="G137" s="100" t="s">
        <v>12</v>
      </c>
      <c r="H137" t="s">
        <v>2192</v>
      </c>
    </row>
    <row r="138" spans="1:8" ht="29">
      <c r="A138" s="103" t="s">
        <v>1575</v>
      </c>
      <c r="B138" s="103" t="str">
        <f t="shared" si="2"/>
        <v>94</v>
      </c>
      <c r="C138" s="99">
        <v>1</v>
      </c>
      <c r="D138" s="100" t="s">
        <v>1424</v>
      </c>
      <c r="E138" s="101" t="s">
        <v>2200</v>
      </c>
      <c r="F138" s="102" t="s">
        <v>2080</v>
      </c>
      <c r="G138" s="100" t="s">
        <v>12</v>
      </c>
      <c r="H138" t="s">
        <v>2201</v>
      </c>
    </row>
    <row r="139" spans="1:8" ht="29">
      <c r="A139" s="103" t="s">
        <v>1575</v>
      </c>
      <c r="B139" s="103" t="str">
        <f t="shared" si="2"/>
        <v>94</v>
      </c>
      <c r="C139" s="99">
        <v>1</v>
      </c>
      <c r="D139" s="100" t="s">
        <v>1427</v>
      </c>
      <c r="E139" s="101" t="s">
        <v>2202</v>
      </c>
      <c r="F139" s="102" t="s">
        <v>2080</v>
      </c>
      <c r="G139" s="100" t="s">
        <v>12</v>
      </c>
      <c r="H139" t="s">
        <v>2201</v>
      </c>
    </row>
    <row r="140" spans="1:8" ht="29">
      <c r="A140" s="103" t="s">
        <v>1575</v>
      </c>
      <c r="B140" s="103" t="str">
        <f t="shared" si="2"/>
        <v>94</v>
      </c>
      <c r="C140" s="99">
        <v>1</v>
      </c>
      <c r="D140" s="100" t="s">
        <v>1429</v>
      </c>
      <c r="E140" s="101" t="s">
        <v>2203</v>
      </c>
      <c r="F140" s="102" t="s">
        <v>2080</v>
      </c>
      <c r="G140" s="100" t="s">
        <v>12</v>
      </c>
      <c r="H140" t="s">
        <v>2201</v>
      </c>
    </row>
    <row r="141" spans="1:8" ht="29">
      <c r="A141" s="103" t="s">
        <v>1575</v>
      </c>
      <c r="B141" s="103" t="str">
        <f t="shared" si="2"/>
        <v>94</v>
      </c>
      <c r="C141" s="99">
        <v>1</v>
      </c>
      <c r="D141" s="100" t="s">
        <v>1431</v>
      </c>
      <c r="E141" s="101" t="s">
        <v>2204</v>
      </c>
      <c r="F141" s="102" t="s">
        <v>2080</v>
      </c>
      <c r="G141" s="100" t="s">
        <v>12</v>
      </c>
      <c r="H141" t="s">
        <v>2201</v>
      </c>
    </row>
    <row r="142" spans="1:8" ht="29">
      <c r="A142" s="103" t="s">
        <v>1575</v>
      </c>
      <c r="B142" s="103" t="str">
        <f t="shared" si="2"/>
        <v>94</v>
      </c>
      <c r="C142" s="99">
        <v>1</v>
      </c>
      <c r="D142" s="100" t="s">
        <v>1433</v>
      </c>
      <c r="E142" s="101" t="s">
        <v>2205</v>
      </c>
      <c r="F142" s="102" t="s">
        <v>2080</v>
      </c>
      <c r="G142" s="100" t="s">
        <v>12</v>
      </c>
      <c r="H142" t="s">
        <v>2201</v>
      </c>
    </row>
    <row r="143" spans="1:8" ht="29">
      <c r="A143" s="103" t="s">
        <v>1575</v>
      </c>
      <c r="B143" s="103" t="str">
        <f t="shared" si="2"/>
        <v>94</v>
      </c>
      <c r="C143" s="99">
        <v>1</v>
      </c>
      <c r="D143" s="100" t="s">
        <v>1435</v>
      </c>
      <c r="E143" s="101" t="s">
        <v>2206</v>
      </c>
      <c r="F143" s="102" t="s">
        <v>2080</v>
      </c>
      <c r="G143" s="100" t="s">
        <v>12</v>
      </c>
      <c r="H143" t="s">
        <v>2201</v>
      </c>
    </row>
    <row r="144" spans="1:8" ht="29">
      <c r="A144" s="103" t="s">
        <v>1575</v>
      </c>
      <c r="B144" s="103" t="str">
        <f t="shared" si="2"/>
        <v>94</v>
      </c>
      <c r="C144" s="99">
        <v>1</v>
      </c>
      <c r="D144" s="100" t="s">
        <v>1437</v>
      </c>
      <c r="E144" s="101" t="s">
        <v>2207</v>
      </c>
      <c r="F144" s="102" t="s">
        <v>2080</v>
      </c>
      <c r="G144" s="100" t="s">
        <v>12</v>
      </c>
      <c r="H144" t="s">
        <v>2201</v>
      </c>
    </row>
    <row r="145" spans="1:8" ht="29">
      <c r="A145" s="103" t="s">
        <v>1575</v>
      </c>
      <c r="B145" s="103" t="str">
        <f t="shared" si="2"/>
        <v>94</v>
      </c>
      <c r="C145" s="99">
        <v>1</v>
      </c>
      <c r="D145" s="100" t="s">
        <v>1439</v>
      </c>
      <c r="E145" s="101" t="s">
        <v>2208</v>
      </c>
      <c r="F145" s="102" t="s">
        <v>2080</v>
      </c>
      <c r="G145" s="100" t="s">
        <v>12</v>
      </c>
      <c r="H145" t="s">
        <v>2201</v>
      </c>
    </row>
    <row r="146" spans="1:8" ht="58">
      <c r="A146" s="103" t="s">
        <v>1579</v>
      </c>
      <c r="B146" s="103" t="str">
        <f t="shared" si="2"/>
        <v>95</v>
      </c>
      <c r="C146" s="99">
        <v>1</v>
      </c>
      <c r="D146" s="100" t="s">
        <v>1424</v>
      </c>
      <c r="E146" s="101" t="s">
        <v>2209</v>
      </c>
      <c r="F146" s="102" t="s">
        <v>2080</v>
      </c>
      <c r="G146" s="100" t="s">
        <v>12</v>
      </c>
      <c r="H146" t="s">
        <v>2210</v>
      </c>
    </row>
    <row r="147" spans="1:8" ht="58">
      <c r="A147" s="103" t="s">
        <v>1579</v>
      </c>
      <c r="B147" s="103" t="str">
        <f t="shared" si="2"/>
        <v>95</v>
      </c>
      <c r="C147" s="99">
        <v>1</v>
      </c>
      <c r="D147" s="100" t="s">
        <v>1427</v>
      </c>
      <c r="E147" s="101" t="s">
        <v>2211</v>
      </c>
      <c r="F147" s="102" t="s">
        <v>2080</v>
      </c>
      <c r="G147" s="100" t="s">
        <v>12</v>
      </c>
      <c r="H147" t="s">
        <v>2210</v>
      </c>
    </row>
    <row r="148" spans="1:8" ht="58">
      <c r="A148" s="103" t="s">
        <v>1579</v>
      </c>
      <c r="B148" s="103" t="str">
        <f t="shared" si="2"/>
        <v>95</v>
      </c>
      <c r="C148" s="99">
        <v>1</v>
      </c>
      <c r="D148" s="100" t="s">
        <v>1429</v>
      </c>
      <c r="E148" s="101" t="s">
        <v>2212</v>
      </c>
      <c r="F148" s="102" t="s">
        <v>2080</v>
      </c>
      <c r="G148" s="100" t="s">
        <v>12</v>
      </c>
      <c r="H148" t="s">
        <v>2210</v>
      </c>
    </row>
    <row r="149" spans="1:8" ht="58">
      <c r="A149" s="103" t="s">
        <v>1579</v>
      </c>
      <c r="B149" s="103" t="str">
        <f t="shared" si="2"/>
        <v>95</v>
      </c>
      <c r="C149" s="99">
        <v>1</v>
      </c>
      <c r="D149" s="100" t="s">
        <v>1431</v>
      </c>
      <c r="E149" s="101" t="s">
        <v>2213</v>
      </c>
      <c r="F149" s="102" t="s">
        <v>2080</v>
      </c>
      <c r="G149" s="100" t="s">
        <v>12</v>
      </c>
      <c r="H149" t="s">
        <v>2210</v>
      </c>
    </row>
    <row r="150" spans="1:8" ht="58">
      <c r="A150" s="103" t="s">
        <v>1579</v>
      </c>
      <c r="B150" s="103" t="str">
        <f t="shared" si="2"/>
        <v>95</v>
      </c>
      <c r="C150" s="99">
        <v>1</v>
      </c>
      <c r="D150" s="100" t="s">
        <v>1433</v>
      </c>
      <c r="E150" s="101" t="s">
        <v>2214</v>
      </c>
      <c r="F150" s="102" t="s">
        <v>2080</v>
      </c>
      <c r="G150" s="100" t="s">
        <v>12</v>
      </c>
      <c r="H150" t="s">
        <v>2210</v>
      </c>
    </row>
    <row r="151" spans="1:8" ht="58">
      <c r="A151" s="103" t="s">
        <v>1579</v>
      </c>
      <c r="B151" s="103" t="str">
        <f t="shared" si="2"/>
        <v>95</v>
      </c>
      <c r="C151" s="99">
        <v>1</v>
      </c>
      <c r="D151" s="100" t="s">
        <v>1435</v>
      </c>
      <c r="E151" s="101" t="s">
        <v>2215</v>
      </c>
      <c r="F151" s="102" t="s">
        <v>2080</v>
      </c>
      <c r="G151" s="100" t="s">
        <v>12</v>
      </c>
      <c r="H151" t="s">
        <v>2210</v>
      </c>
    </row>
    <row r="152" spans="1:8" ht="58">
      <c r="A152" s="103" t="s">
        <v>1579</v>
      </c>
      <c r="B152" s="103" t="str">
        <f t="shared" si="2"/>
        <v>95</v>
      </c>
      <c r="C152" s="99">
        <v>1</v>
      </c>
      <c r="D152" s="100" t="s">
        <v>1437</v>
      </c>
      <c r="E152" s="101" t="s">
        <v>2216</v>
      </c>
      <c r="F152" s="102" t="s">
        <v>2080</v>
      </c>
      <c r="G152" s="100" t="s">
        <v>12</v>
      </c>
      <c r="H152" t="s">
        <v>2210</v>
      </c>
    </row>
    <row r="153" spans="1:8" ht="58">
      <c r="A153" s="103" t="s">
        <v>1579</v>
      </c>
      <c r="B153" s="103" t="str">
        <f t="shared" si="2"/>
        <v>95</v>
      </c>
      <c r="C153" s="99">
        <v>1</v>
      </c>
      <c r="D153" s="100" t="s">
        <v>1439</v>
      </c>
      <c r="E153" s="101" t="s">
        <v>2217</v>
      </c>
      <c r="F153" s="102" t="s">
        <v>2080</v>
      </c>
      <c r="G153" s="100" t="s">
        <v>12</v>
      </c>
      <c r="H153" t="s">
        <v>2210</v>
      </c>
    </row>
    <row r="154" spans="1:8" ht="58">
      <c r="A154" s="103" t="s">
        <v>1583</v>
      </c>
      <c r="B154" s="103" t="str">
        <f t="shared" si="2"/>
        <v>96</v>
      </c>
      <c r="C154" s="99">
        <v>1</v>
      </c>
      <c r="D154" s="100" t="s">
        <v>1424</v>
      </c>
      <c r="E154" s="101" t="s">
        <v>2218</v>
      </c>
      <c r="F154" s="102" t="s">
        <v>2080</v>
      </c>
      <c r="G154" s="100" t="s">
        <v>12</v>
      </c>
      <c r="H154" t="s">
        <v>2219</v>
      </c>
    </row>
    <row r="155" spans="1:8" ht="58">
      <c r="A155" s="103" t="s">
        <v>1583</v>
      </c>
      <c r="B155" s="103" t="str">
        <f t="shared" si="2"/>
        <v>96</v>
      </c>
      <c r="C155" s="99">
        <v>1</v>
      </c>
      <c r="D155" s="100" t="s">
        <v>1427</v>
      </c>
      <c r="E155" s="101" t="s">
        <v>2220</v>
      </c>
      <c r="F155" s="102" t="s">
        <v>2080</v>
      </c>
      <c r="G155" s="100" t="s">
        <v>12</v>
      </c>
      <c r="H155" t="s">
        <v>2219</v>
      </c>
    </row>
    <row r="156" spans="1:8" ht="58">
      <c r="A156" s="103" t="s">
        <v>1583</v>
      </c>
      <c r="B156" s="103" t="str">
        <f t="shared" si="2"/>
        <v>96</v>
      </c>
      <c r="C156" s="99">
        <v>1</v>
      </c>
      <c r="D156" s="100" t="s">
        <v>1429</v>
      </c>
      <c r="E156" s="101" t="s">
        <v>2221</v>
      </c>
      <c r="F156" s="102" t="s">
        <v>2080</v>
      </c>
      <c r="G156" s="100" t="s">
        <v>12</v>
      </c>
      <c r="H156" t="s">
        <v>2219</v>
      </c>
    </row>
    <row r="157" spans="1:8" ht="58">
      <c r="A157" s="103" t="s">
        <v>1583</v>
      </c>
      <c r="B157" s="103" t="str">
        <f t="shared" si="2"/>
        <v>96</v>
      </c>
      <c r="C157" s="99">
        <v>1</v>
      </c>
      <c r="D157" s="100" t="s">
        <v>1431</v>
      </c>
      <c r="E157" s="101" t="s">
        <v>2222</v>
      </c>
      <c r="F157" s="102" t="s">
        <v>2080</v>
      </c>
      <c r="G157" s="100" t="s">
        <v>12</v>
      </c>
      <c r="H157" t="s">
        <v>2219</v>
      </c>
    </row>
    <row r="158" spans="1:8" ht="58">
      <c r="A158" s="103" t="s">
        <v>1583</v>
      </c>
      <c r="B158" s="103" t="str">
        <f t="shared" si="2"/>
        <v>96</v>
      </c>
      <c r="C158" s="99">
        <v>1</v>
      </c>
      <c r="D158" s="100" t="s">
        <v>1433</v>
      </c>
      <c r="E158" s="101" t="s">
        <v>2223</v>
      </c>
      <c r="F158" s="102" t="s">
        <v>2080</v>
      </c>
      <c r="G158" s="100" t="s">
        <v>12</v>
      </c>
      <c r="H158" t="s">
        <v>2219</v>
      </c>
    </row>
    <row r="159" spans="1:8" ht="58">
      <c r="A159" s="103" t="s">
        <v>1583</v>
      </c>
      <c r="B159" s="103" t="str">
        <f t="shared" si="2"/>
        <v>96</v>
      </c>
      <c r="C159" s="99">
        <v>1</v>
      </c>
      <c r="D159" s="100" t="s">
        <v>1435</v>
      </c>
      <c r="E159" s="101" t="s">
        <v>2224</v>
      </c>
      <c r="F159" s="102" t="s">
        <v>2080</v>
      </c>
      <c r="G159" s="100" t="s">
        <v>12</v>
      </c>
      <c r="H159" t="s">
        <v>2219</v>
      </c>
    </row>
    <row r="160" spans="1:8" ht="58">
      <c r="A160" s="103" t="s">
        <v>1583</v>
      </c>
      <c r="B160" s="103" t="str">
        <f t="shared" si="2"/>
        <v>96</v>
      </c>
      <c r="C160" s="99">
        <v>1</v>
      </c>
      <c r="D160" s="100" t="s">
        <v>1437</v>
      </c>
      <c r="E160" s="101" t="s">
        <v>2225</v>
      </c>
      <c r="F160" s="102" t="s">
        <v>2080</v>
      </c>
      <c r="G160" s="100" t="s">
        <v>12</v>
      </c>
      <c r="H160" t="s">
        <v>2219</v>
      </c>
    </row>
    <row r="161" spans="1:8" ht="58">
      <c r="A161" s="103" t="s">
        <v>1583</v>
      </c>
      <c r="B161" s="103" t="str">
        <f t="shared" si="2"/>
        <v>96</v>
      </c>
      <c r="C161" s="99">
        <v>1</v>
      </c>
      <c r="D161" s="100" t="s">
        <v>1439</v>
      </c>
      <c r="E161" s="101" t="s">
        <v>2226</v>
      </c>
      <c r="F161" s="102" t="s">
        <v>2080</v>
      </c>
      <c r="G161" s="100" t="s">
        <v>12</v>
      </c>
      <c r="H161" t="s">
        <v>2219</v>
      </c>
    </row>
    <row r="162" spans="1:8" ht="58">
      <c r="A162" s="103" t="s">
        <v>1587</v>
      </c>
      <c r="B162" s="103" t="str">
        <f t="shared" si="2"/>
        <v>97</v>
      </c>
      <c r="C162" s="99">
        <v>1</v>
      </c>
      <c r="D162" s="100" t="s">
        <v>1424</v>
      </c>
      <c r="E162" s="101" t="s">
        <v>2227</v>
      </c>
      <c r="F162" s="102" t="s">
        <v>2080</v>
      </c>
      <c r="G162" s="100" t="s">
        <v>12</v>
      </c>
      <c r="H162" t="s">
        <v>2228</v>
      </c>
    </row>
    <row r="163" spans="1:8" ht="58">
      <c r="A163" s="103" t="s">
        <v>1587</v>
      </c>
      <c r="B163" s="103" t="str">
        <f t="shared" si="2"/>
        <v>97</v>
      </c>
      <c r="C163" s="99">
        <v>1</v>
      </c>
      <c r="D163" s="100" t="s">
        <v>1427</v>
      </c>
      <c r="E163" s="101" t="s">
        <v>2229</v>
      </c>
      <c r="F163" s="102" t="s">
        <v>2080</v>
      </c>
      <c r="G163" s="100" t="s">
        <v>12</v>
      </c>
      <c r="H163" t="s">
        <v>2228</v>
      </c>
    </row>
    <row r="164" spans="1:8" ht="58">
      <c r="A164" s="103" t="s">
        <v>1587</v>
      </c>
      <c r="B164" s="103" t="str">
        <f t="shared" si="2"/>
        <v>97</v>
      </c>
      <c r="C164" s="99">
        <v>1</v>
      </c>
      <c r="D164" s="100" t="s">
        <v>1429</v>
      </c>
      <c r="E164" s="101" t="s">
        <v>2230</v>
      </c>
      <c r="F164" s="102" t="s">
        <v>2080</v>
      </c>
      <c r="G164" s="100" t="s">
        <v>12</v>
      </c>
      <c r="H164" t="s">
        <v>2228</v>
      </c>
    </row>
    <row r="165" spans="1:8" ht="58">
      <c r="A165" s="103" t="s">
        <v>1587</v>
      </c>
      <c r="B165" s="103" t="str">
        <f t="shared" si="2"/>
        <v>97</v>
      </c>
      <c r="C165" s="99">
        <v>1</v>
      </c>
      <c r="D165" s="100" t="s">
        <v>1431</v>
      </c>
      <c r="E165" s="101" t="s">
        <v>2231</v>
      </c>
      <c r="F165" s="102" t="s">
        <v>2080</v>
      </c>
      <c r="G165" s="100" t="s">
        <v>12</v>
      </c>
      <c r="H165" t="s">
        <v>2228</v>
      </c>
    </row>
    <row r="166" spans="1:8" ht="58">
      <c r="A166" s="103" t="s">
        <v>1587</v>
      </c>
      <c r="B166" s="103" t="str">
        <f t="shared" si="2"/>
        <v>97</v>
      </c>
      <c r="C166" s="99">
        <v>1</v>
      </c>
      <c r="D166" s="100" t="s">
        <v>1433</v>
      </c>
      <c r="E166" s="101" t="s">
        <v>2232</v>
      </c>
      <c r="F166" s="102" t="s">
        <v>2080</v>
      </c>
      <c r="G166" s="100" t="s">
        <v>12</v>
      </c>
      <c r="H166" t="s">
        <v>2228</v>
      </c>
    </row>
    <row r="167" spans="1:8" ht="58">
      <c r="A167" s="103" t="s">
        <v>1587</v>
      </c>
      <c r="B167" s="103" t="str">
        <f t="shared" si="2"/>
        <v>97</v>
      </c>
      <c r="C167" s="99">
        <v>1</v>
      </c>
      <c r="D167" s="100" t="s">
        <v>1435</v>
      </c>
      <c r="E167" s="101" t="s">
        <v>2233</v>
      </c>
      <c r="F167" s="102" t="s">
        <v>2080</v>
      </c>
      <c r="G167" s="100" t="s">
        <v>12</v>
      </c>
      <c r="H167" t="s">
        <v>2228</v>
      </c>
    </row>
    <row r="168" spans="1:8" ht="58">
      <c r="A168" s="103" t="s">
        <v>1587</v>
      </c>
      <c r="B168" s="103" t="str">
        <f t="shared" si="2"/>
        <v>97</v>
      </c>
      <c r="C168" s="99">
        <v>1</v>
      </c>
      <c r="D168" s="100" t="s">
        <v>1437</v>
      </c>
      <c r="E168" s="101" t="s">
        <v>2234</v>
      </c>
      <c r="F168" s="102" t="s">
        <v>2080</v>
      </c>
      <c r="G168" s="100" t="s">
        <v>12</v>
      </c>
      <c r="H168" t="s">
        <v>2228</v>
      </c>
    </row>
    <row r="169" spans="1:8" ht="58">
      <c r="A169" s="103" t="s">
        <v>1587</v>
      </c>
      <c r="B169" s="103" t="str">
        <f t="shared" si="2"/>
        <v>97</v>
      </c>
      <c r="C169" s="99">
        <v>1</v>
      </c>
      <c r="D169" s="100" t="s">
        <v>1439</v>
      </c>
      <c r="E169" s="101" t="s">
        <v>2235</v>
      </c>
      <c r="F169" s="102" t="s">
        <v>2080</v>
      </c>
      <c r="G169" s="100" t="s">
        <v>12</v>
      </c>
      <c r="H169" t="s">
        <v>2228</v>
      </c>
    </row>
    <row r="170" spans="1:8" ht="58">
      <c r="A170" s="103" t="s">
        <v>1591</v>
      </c>
      <c r="B170" s="103" t="str">
        <f t="shared" si="2"/>
        <v>98</v>
      </c>
      <c r="C170" s="99">
        <v>1</v>
      </c>
      <c r="D170" s="100" t="s">
        <v>1424</v>
      </c>
      <c r="E170" s="101" t="s">
        <v>2236</v>
      </c>
      <c r="F170" s="102" t="s">
        <v>2080</v>
      </c>
      <c r="G170" s="100" t="s">
        <v>12</v>
      </c>
      <c r="H170" t="s">
        <v>2237</v>
      </c>
    </row>
    <row r="171" spans="1:8" ht="58">
      <c r="A171" s="103" t="s">
        <v>1591</v>
      </c>
      <c r="B171" s="103" t="str">
        <f t="shared" si="2"/>
        <v>98</v>
      </c>
      <c r="C171" s="99">
        <v>1</v>
      </c>
      <c r="D171" s="100" t="s">
        <v>1427</v>
      </c>
      <c r="E171" s="101" t="s">
        <v>2238</v>
      </c>
      <c r="F171" s="102" t="s">
        <v>2080</v>
      </c>
      <c r="G171" s="100" t="s">
        <v>12</v>
      </c>
      <c r="H171" t="s">
        <v>2237</v>
      </c>
    </row>
    <row r="172" spans="1:8" ht="58">
      <c r="A172" s="103" t="s">
        <v>1591</v>
      </c>
      <c r="B172" s="103" t="str">
        <f t="shared" si="2"/>
        <v>98</v>
      </c>
      <c r="C172" s="99">
        <v>1</v>
      </c>
      <c r="D172" s="100" t="s">
        <v>1429</v>
      </c>
      <c r="E172" s="101" t="s">
        <v>2239</v>
      </c>
      <c r="F172" s="102" t="s">
        <v>2080</v>
      </c>
      <c r="G172" s="100" t="s">
        <v>12</v>
      </c>
      <c r="H172" t="s">
        <v>2237</v>
      </c>
    </row>
    <row r="173" spans="1:8" ht="58">
      <c r="A173" s="103" t="s">
        <v>1591</v>
      </c>
      <c r="B173" s="103" t="str">
        <f t="shared" si="2"/>
        <v>98</v>
      </c>
      <c r="C173" s="99">
        <v>1</v>
      </c>
      <c r="D173" s="100" t="s">
        <v>1431</v>
      </c>
      <c r="E173" s="101" t="s">
        <v>2240</v>
      </c>
      <c r="F173" s="102" t="s">
        <v>2080</v>
      </c>
      <c r="G173" s="100" t="s">
        <v>12</v>
      </c>
      <c r="H173" t="s">
        <v>2237</v>
      </c>
    </row>
    <row r="174" spans="1:8" ht="58">
      <c r="A174" s="103" t="s">
        <v>1591</v>
      </c>
      <c r="B174" s="103" t="str">
        <f t="shared" si="2"/>
        <v>98</v>
      </c>
      <c r="C174" s="99">
        <v>1</v>
      </c>
      <c r="D174" s="100" t="s">
        <v>1433</v>
      </c>
      <c r="E174" s="101" t="s">
        <v>2241</v>
      </c>
      <c r="F174" s="102" t="s">
        <v>2080</v>
      </c>
      <c r="G174" s="100" t="s">
        <v>12</v>
      </c>
      <c r="H174" t="s">
        <v>2237</v>
      </c>
    </row>
    <row r="175" spans="1:8" ht="58">
      <c r="A175" s="103" t="s">
        <v>1591</v>
      </c>
      <c r="B175" s="103" t="str">
        <f t="shared" si="2"/>
        <v>98</v>
      </c>
      <c r="C175" s="99">
        <v>1</v>
      </c>
      <c r="D175" s="100" t="s">
        <v>1435</v>
      </c>
      <c r="E175" s="101" t="s">
        <v>2242</v>
      </c>
      <c r="F175" s="102" t="s">
        <v>2080</v>
      </c>
      <c r="G175" s="100" t="s">
        <v>12</v>
      </c>
      <c r="H175" t="s">
        <v>2237</v>
      </c>
    </row>
    <row r="176" spans="1:8" ht="58">
      <c r="A176" s="103" t="s">
        <v>1591</v>
      </c>
      <c r="B176" s="103" t="str">
        <f t="shared" si="2"/>
        <v>98</v>
      </c>
      <c r="C176" s="99">
        <v>1</v>
      </c>
      <c r="D176" s="100" t="s">
        <v>1437</v>
      </c>
      <c r="E176" s="101" t="s">
        <v>2243</v>
      </c>
      <c r="F176" s="102" t="s">
        <v>2080</v>
      </c>
      <c r="G176" s="100" t="s">
        <v>12</v>
      </c>
      <c r="H176" t="s">
        <v>2237</v>
      </c>
    </row>
    <row r="177" spans="1:8" ht="58">
      <c r="A177" s="103" t="s">
        <v>1591</v>
      </c>
      <c r="B177" s="103" t="str">
        <f t="shared" si="2"/>
        <v>98</v>
      </c>
      <c r="C177" s="99">
        <v>1</v>
      </c>
      <c r="D177" s="100" t="s">
        <v>1439</v>
      </c>
      <c r="E177" s="101" t="s">
        <v>2244</v>
      </c>
      <c r="F177" s="102" t="s">
        <v>2080</v>
      </c>
      <c r="G177" s="100" t="s">
        <v>12</v>
      </c>
      <c r="H177" t="s">
        <v>2237</v>
      </c>
    </row>
    <row r="178" spans="1:8" ht="58">
      <c r="A178" s="103" t="s">
        <v>1595</v>
      </c>
      <c r="B178" s="103" t="str">
        <f t="shared" si="2"/>
        <v>99</v>
      </c>
      <c r="C178" s="99">
        <v>1</v>
      </c>
      <c r="D178" s="100" t="s">
        <v>1424</v>
      </c>
      <c r="E178" s="101" t="s">
        <v>2245</v>
      </c>
      <c r="F178" s="102" t="s">
        <v>2070</v>
      </c>
      <c r="G178" s="100" t="s">
        <v>12</v>
      </c>
      <c r="H178" t="s">
        <v>2246</v>
      </c>
    </row>
    <row r="179" spans="1:8" ht="58">
      <c r="A179" s="103" t="s">
        <v>1595</v>
      </c>
      <c r="B179" s="103" t="str">
        <f t="shared" si="2"/>
        <v>99</v>
      </c>
      <c r="C179" s="99">
        <v>1</v>
      </c>
      <c r="D179" s="100" t="s">
        <v>1427</v>
      </c>
      <c r="E179" s="101" t="s">
        <v>2247</v>
      </c>
      <c r="F179" s="102" t="s">
        <v>2070</v>
      </c>
      <c r="G179" s="100" t="s">
        <v>12</v>
      </c>
      <c r="H179" t="s">
        <v>2246</v>
      </c>
    </row>
    <row r="180" spans="1:8" ht="58">
      <c r="A180" s="103" t="s">
        <v>1595</v>
      </c>
      <c r="B180" s="103" t="str">
        <f t="shared" si="2"/>
        <v>99</v>
      </c>
      <c r="C180" s="99">
        <v>1</v>
      </c>
      <c r="D180" s="100" t="s">
        <v>1429</v>
      </c>
      <c r="E180" s="101" t="s">
        <v>2248</v>
      </c>
      <c r="F180" s="102" t="s">
        <v>2070</v>
      </c>
      <c r="G180" s="100" t="s">
        <v>12</v>
      </c>
      <c r="H180" t="s">
        <v>2246</v>
      </c>
    </row>
    <row r="181" spans="1:8" ht="58">
      <c r="A181" s="103" t="s">
        <v>1595</v>
      </c>
      <c r="B181" s="103" t="str">
        <f t="shared" si="2"/>
        <v>99</v>
      </c>
      <c r="C181" s="99">
        <v>1</v>
      </c>
      <c r="D181" s="100" t="s">
        <v>1431</v>
      </c>
      <c r="E181" s="101" t="s">
        <v>2249</v>
      </c>
      <c r="F181" s="102" t="s">
        <v>2070</v>
      </c>
      <c r="G181" s="100" t="s">
        <v>12</v>
      </c>
      <c r="H181" t="s">
        <v>2246</v>
      </c>
    </row>
    <row r="182" spans="1:8" ht="58">
      <c r="A182" s="103" t="s">
        <v>1595</v>
      </c>
      <c r="B182" s="103" t="str">
        <f t="shared" si="2"/>
        <v>99</v>
      </c>
      <c r="C182" s="99">
        <v>1</v>
      </c>
      <c r="D182" s="100" t="s">
        <v>1433</v>
      </c>
      <c r="E182" s="101" t="s">
        <v>2250</v>
      </c>
      <c r="F182" s="102" t="s">
        <v>2070</v>
      </c>
      <c r="G182" s="100" t="s">
        <v>12</v>
      </c>
      <c r="H182" t="s">
        <v>2246</v>
      </c>
    </row>
    <row r="183" spans="1:8" ht="58">
      <c r="A183" s="103" t="s">
        <v>1595</v>
      </c>
      <c r="B183" s="103" t="str">
        <f t="shared" si="2"/>
        <v>99</v>
      </c>
      <c r="C183" s="99">
        <v>1</v>
      </c>
      <c r="D183" s="100" t="s">
        <v>1435</v>
      </c>
      <c r="E183" s="101" t="s">
        <v>2251</v>
      </c>
      <c r="F183" s="102" t="s">
        <v>2070</v>
      </c>
      <c r="G183" s="100" t="s">
        <v>12</v>
      </c>
      <c r="H183" t="s">
        <v>2246</v>
      </c>
    </row>
    <row r="184" spans="1:8" ht="58">
      <c r="A184" s="103" t="s">
        <v>1595</v>
      </c>
      <c r="B184" s="103" t="str">
        <f t="shared" si="2"/>
        <v>99</v>
      </c>
      <c r="C184" s="99">
        <v>1</v>
      </c>
      <c r="D184" s="100" t="s">
        <v>1437</v>
      </c>
      <c r="E184" s="101" t="s">
        <v>2252</v>
      </c>
      <c r="F184" s="102" t="s">
        <v>2070</v>
      </c>
      <c r="G184" s="100" t="s">
        <v>12</v>
      </c>
      <c r="H184" t="s">
        <v>2246</v>
      </c>
    </row>
    <row r="185" spans="1:8" ht="58">
      <c r="A185" s="103" t="s">
        <v>1595</v>
      </c>
      <c r="B185" s="103" t="str">
        <f t="shared" si="2"/>
        <v>99</v>
      </c>
      <c r="C185" s="99">
        <v>1</v>
      </c>
      <c r="D185" s="100" t="s">
        <v>1439</v>
      </c>
      <c r="E185" s="101" t="s">
        <v>2253</v>
      </c>
      <c r="F185" s="102" t="s">
        <v>2070</v>
      </c>
      <c r="G185" s="100" t="s">
        <v>12</v>
      </c>
      <c r="H185" t="s">
        <v>2246</v>
      </c>
    </row>
    <row r="186" spans="1:8" ht="29">
      <c r="A186" s="103" t="s">
        <v>751</v>
      </c>
      <c r="B186" s="103" t="e">
        <f t="shared" si="2"/>
        <v>#VALUE!</v>
      </c>
      <c r="C186" s="99">
        <v>2</v>
      </c>
      <c r="D186" s="100" t="s">
        <v>18</v>
      </c>
      <c r="E186" s="101" t="s">
        <v>2254</v>
      </c>
      <c r="F186" s="102" t="s">
        <v>136</v>
      </c>
      <c r="G186" s="100" t="s">
        <v>841</v>
      </c>
      <c r="H186" t="s">
        <v>2255</v>
      </c>
    </row>
    <row r="187" spans="1:8" ht="29">
      <c r="A187" s="103" t="s">
        <v>754</v>
      </c>
      <c r="B187" s="103" t="e">
        <f t="shared" si="2"/>
        <v>#VALUE!</v>
      </c>
      <c r="C187" s="99">
        <v>2</v>
      </c>
      <c r="D187" s="100" t="s">
        <v>18</v>
      </c>
      <c r="E187" s="101" t="s">
        <v>2256</v>
      </c>
      <c r="F187" s="102" t="s">
        <v>136</v>
      </c>
      <c r="G187" s="100" t="s">
        <v>232</v>
      </c>
      <c r="H187" t="s">
        <v>2255</v>
      </c>
    </row>
    <row r="188" spans="1:8" ht="29">
      <c r="A188" s="103" t="s">
        <v>757</v>
      </c>
      <c r="B188" s="103" t="e">
        <f t="shared" si="2"/>
        <v>#VALUE!</v>
      </c>
      <c r="C188" s="99">
        <v>2</v>
      </c>
      <c r="D188" s="100" t="s">
        <v>18</v>
      </c>
      <c r="E188" s="101" t="s">
        <v>2257</v>
      </c>
      <c r="F188" s="102" t="s">
        <v>136</v>
      </c>
      <c r="G188" s="100" t="s">
        <v>232</v>
      </c>
      <c r="H188" t="s">
        <v>2255</v>
      </c>
    </row>
    <row r="189" spans="1:8" ht="29">
      <c r="A189" s="103" t="s">
        <v>760</v>
      </c>
      <c r="B189" s="103" t="e">
        <f t="shared" si="2"/>
        <v>#VALUE!</v>
      </c>
      <c r="C189" s="99">
        <v>2</v>
      </c>
      <c r="D189" s="100" t="s">
        <v>18</v>
      </c>
      <c r="E189" s="101" t="s">
        <v>2258</v>
      </c>
      <c r="F189" s="102" t="s">
        <v>136</v>
      </c>
      <c r="G189" s="100" t="s">
        <v>232</v>
      </c>
      <c r="H189" t="s">
        <v>2255</v>
      </c>
    </row>
    <row r="190" spans="1:8" ht="29">
      <c r="A190" s="103" t="s">
        <v>764</v>
      </c>
      <c r="B190" s="103" t="e">
        <f t="shared" si="2"/>
        <v>#VALUE!</v>
      </c>
      <c r="C190" s="99">
        <v>2</v>
      </c>
      <c r="D190" s="100" t="s">
        <v>18</v>
      </c>
      <c r="E190" s="101" t="s">
        <v>2259</v>
      </c>
      <c r="F190" s="102" t="s">
        <v>136</v>
      </c>
      <c r="G190" s="100" t="s">
        <v>232</v>
      </c>
      <c r="H190" t="s">
        <v>2255</v>
      </c>
    </row>
    <row r="191" spans="1:8" ht="29">
      <c r="A191" s="103" t="s">
        <v>375</v>
      </c>
      <c r="B191" s="103" t="e">
        <f t="shared" si="2"/>
        <v>#VALUE!</v>
      </c>
      <c r="C191" s="99">
        <v>2</v>
      </c>
      <c r="D191" s="100" t="s">
        <v>18</v>
      </c>
      <c r="E191" s="101" t="s">
        <v>2260</v>
      </c>
      <c r="F191" s="102" t="s">
        <v>136</v>
      </c>
      <c r="G191" s="100" t="s">
        <v>232</v>
      </c>
      <c r="H191" t="s">
        <v>2255</v>
      </c>
    </row>
    <row r="192" spans="1:8" ht="29">
      <c r="A192" s="103" t="s">
        <v>770</v>
      </c>
      <c r="B192" s="103" t="e">
        <f t="shared" si="2"/>
        <v>#VALUE!</v>
      </c>
      <c r="C192" s="99">
        <v>2</v>
      </c>
      <c r="D192" s="100" t="s">
        <v>18</v>
      </c>
      <c r="E192" s="101" t="s">
        <v>2261</v>
      </c>
      <c r="F192" s="102" t="s">
        <v>136</v>
      </c>
      <c r="G192" s="100" t="s">
        <v>232</v>
      </c>
      <c r="H192" t="s">
        <v>2255</v>
      </c>
    </row>
    <row r="193" spans="1:8" ht="29">
      <c r="A193" s="103" t="s">
        <v>774</v>
      </c>
      <c r="B193" s="103" t="e">
        <f t="shared" si="2"/>
        <v>#VALUE!</v>
      </c>
      <c r="C193" s="99">
        <v>2</v>
      </c>
      <c r="D193" s="100" t="s">
        <v>18</v>
      </c>
      <c r="E193" s="101" t="s">
        <v>2262</v>
      </c>
      <c r="F193" s="102" t="s">
        <v>136</v>
      </c>
      <c r="G193" s="100" t="s">
        <v>232</v>
      </c>
      <c r="H193" t="s">
        <v>2255</v>
      </c>
    </row>
    <row r="194" spans="1:8" ht="29">
      <c r="A194" s="103" t="s">
        <v>778</v>
      </c>
      <c r="B194" s="103" t="e">
        <f t="shared" ref="B194:B257" si="3">DEC2HEX(A194, 2)</f>
        <v>#VALUE!</v>
      </c>
      <c r="C194" s="99">
        <v>2</v>
      </c>
      <c r="D194" s="100" t="s">
        <v>18</v>
      </c>
      <c r="E194" s="101" t="s">
        <v>2263</v>
      </c>
      <c r="F194" s="102" t="s">
        <v>136</v>
      </c>
      <c r="G194" s="100" t="s">
        <v>2264</v>
      </c>
      <c r="H194" t="s">
        <v>2265</v>
      </c>
    </row>
    <row r="195" spans="1:8" ht="29">
      <c r="A195" s="103" t="s">
        <v>781</v>
      </c>
      <c r="B195" s="103" t="e">
        <f t="shared" si="3"/>
        <v>#VALUE!</v>
      </c>
      <c r="C195" s="99">
        <v>2</v>
      </c>
      <c r="D195" s="100" t="s">
        <v>18</v>
      </c>
      <c r="E195" s="101" t="s">
        <v>2266</v>
      </c>
      <c r="F195" s="102" t="s">
        <v>136</v>
      </c>
      <c r="G195" s="100" t="s">
        <v>232</v>
      </c>
      <c r="H195" t="s">
        <v>2265</v>
      </c>
    </row>
    <row r="196" spans="1:8" ht="29">
      <c r="A196" s="103" t="s">
        <v>785</v>
      </c>
      <c r="B196" s="103" t="e">
        <f t="shared" si="3"/>
        <v>#VALUE!</v>
      </c>
      <c r="C196" s="99">
        <v>2</v>
      </c>
      <c r="D196" s="100" t="s">
        <v>18</v>
      </c>
      <c r="E196" s="101" t="s">
        <v>2267</v>
      </c>
      <c r="F196" s="102" t="s">
        <v>136</v>
      </c>
      <c r="G196" s="100" t="s">
        <v>232</v>
      </c>
      <c r="H196" t="s">
        <v>2265</v>
      </c>
    </row>
    <row r="197" spans="1:8" ht="29">
      <c r="A197" s="103" t="s">
        <v>788</v>
      </c>
      <c r="B197" s="103" t="e">
        <f t="shared" si="3"/>
        <v>#VALUE!</v>
      </c>
      <c r="C197" s="99">
        <v>2</v>
      </c>
      <c r="D197" s="100" t="s">
        <v>18</v>
      </c>
      <c r="E197" s="101" t="s">
        <v>2268</v>
      </c>
      <c r="F197" s="102" t="s">
        <v>136</v>
      </c>
      <c r="G197" s="100" t="s">
        <v>232</v>
      </c>
      <c r="H197" t="s">
        <v>2265</v>
      </c>
    </row>
    <row r="198" spans="1:8" ht="29">
      <c r="A198" s="103" t="s">
        <v>793</v>
      </c>
      <c r="B198" s="103" t="e">
        <f t="shared" si="3"/>
        <v>#VALUE!</v>
      </c>
      <c r="C198" s="99">
        <v>2</v>
      </c>
      <c r="D198" s="100" t="s">
        <v>18</v>
      </c>
      <c r="E198" s="101" t="s">
        <v>2269</v>
      </c>
      <c r="F198" s="102" t="s">
        <v>136</v>
      </c>
      <c r="G198" s="100" t="s">
        <v>232</v>
      </c>
      <c r="H198" t="s">
        <v>2265</v>
      </c>
    </row>
    <row r="199" spans="1:8" ht="29">
      <c r="A199" s="103" t="s">
        <v>798</v>
      </c>
      <c r="B199" s="103" t="e">
        <f t="shared" si="3"/>
        <v>#VALUE!</v>
      </c>
      <c r="C199" s="99">
        <v>2</v>
      </c>
      <c r="D199" s="100" t="s">
        <v>18</v>
      </c>
      <c r="E199" s="101" t="s">
        <v>2270</v>
      </c>
      <c r="F199" s="102" t="s">
        <v>136</v>
      </c>
      <c r="G199" s="100" t="s">
        <v>232</v>
      </c>
      <c r="H199" t="s">
        <v>2265</v>
      </c>
    </row>
    <row r="200" spans="1:8" ht="29">
      <c r="A200" s="103" t="s">
        <v>803</v>
      </c>
      <c r="B200" s="103" t="e">
        <f t="shared" si="3"/>
        <v>#VALUE!</v>
      </c>
      <c r="C200" s="99">
        <v>2</v>
      </c>
      <c r="D200" s="100" t="s">
        <v>18</v>
      </c>
      <c r="E200" s="101" t="s">
        <v>2271</v>
      </c>
      <c r="F200" s="102" t="s">
        <v>136</v>
      </c>
      <c r="G200" s="100" t="s">
        <v>232</v>
      </c>
      <c r="H200" t="s">
        <v>2265</v>
      </c>
    </row>
    <row r="201" spans="1:8" ht="29">
      <c r="A201" s="103" t="s">
        <v>808</v>
      </c>
      <c r="B201" s="103" t="e">
        <f t="shared" si="3"/>
        <v>#VALUE!</v>
      </c>
      <c r="C201" s="99">
        <v>2</v>
      </c>
      <c r="D201" s="100" t="s">
        <v>18</v>
      </c>
      <c r="E201" s="101" t="s">
        <v>2272</v>
      </c>
      <c r="F201" s="102" t="s">
        <v>136</v>
      </c>
      <c r="G201" s="100" t="s">
        <v>232</v>
      </c>
      <c r="H201" t="s">
        <v>2265</v>
      </c>
    </row>
    <row r="202" spans="1:8" ht="29">
      <c r="A202" s="103" t="s">
        <v>812</v>
      </c>
      <c r="B202" s="103" t="e">
        <f t="shared" si="3"/>
        <v>#VALUE!</v>
      </c>
      <c r="C202" s="99">
        <v>2</v>
      </c>
      <c r="D202" s="100" t="s">
        <v>18</v>
      </c>
      <c r="E202" s="101" t="s">
        <v>2273</v>
      </c>
      <c r="F202" s="102" t="s">
        <v>136</v>
      </c>
      <c r="G202" s="100" t="s">
        <v>2274</v>
      </c>
      <c r="H202" t="s">
        <v>2275</v>
      </c>
    </row>
    <row r="203" spans="1:8" ht="29">
      <c r="A203" s="103" t="s">
        <v>816</v>
      </c>
      <c r="B203" s="103" t="e">
        <f t="shared" si="3"/>
        <v>#VALUE!</v>
      </c>
      <c r="C203" s="99">
        <v>2</v>
      </c>
      <c r="D203" s="100" t="s">
        <v>18</v>
      </c>
      <c r="E203" s="101" t="s">
        <v>2276</v>
      </c>
      <c r="F203" s="102" t="s">
        <v>136</v>
      </c>
      <c r="G203" s="100" t="s">
        <v>232</v>
      </c>
      <c r="H203" t="s">
        <v>2275</v>
      </c>
    </row>
    <row r="204" spans="1:8" ht="29">
      <c r="A204" s="103" t="s">
        <v>820</v>
      </c>
      <c r="B204" s="103" t="e">
        <f t="shared" si="3"/>
        <v>#VALUE!</v>
      </c>
      <c r="C204" s="99">
        <v>2</v>
      </c>
      <c r="D204" s="100" t="s">
        <v>18</v>
      </c>
      <c r="E204" s="101" t="s">
        <v>2277</v>
      </c>
      <c r="F204" s="102" t="s">
        <v>136</v>
      </c>
      <c r="G204" s="100" t="s">
        <v>232</v>
      </c>
      <c r="H204" t="s">
        <v>2275</v>
      </c>
    </row>
    <row r="205" spans="1:8" ht="29">
      <c r="A205" s="103" t="s">
        <v>824</v>
      </c>
      <c r="B205" s="103" t="e">
        <f t="shared" si="3"/>
        <v>#VALUE!</v>
      </c>
      <c r="C205" s="99">
        <v>2</v>
      </c>
      <c r="D205" s="100" t="s">
        <v>18</v>
      </c>
      <c r="E205" s="101" t="s">
        <v>2278</v>
      </c>
      <c r="F205" s="102" t="s">
        <v>136</v>
      </c>
      <c r="G205" s="100" t="s">
        <v>232</v>
      </c>
      <c r="H205" t="s">
        <v>2275</v>
      </c>
    </row>
    <row r="206" spans="1:8" ht="29">
      <c r="A206" s="103" t="s">
        <v>829</v>
      </c>
      <c r="B206" s="103" t="e">
        <f t="shared" si="3"/>
        <v>#VALUE!</v>
      </c>
      <c r="C206" s="99">
        <v>2</v>
      </c>
      <c r="D206" s="100" t="s">
        <v>18</v>
      </c>
      <c r="E206" s="101" t="s">
        <v>2279</v>
      </c>
      <c r="F206" s="102" t="s">
        <v>136</v>
      </c>
      <c r="G206" s="100" t="s">
        <v>232</v>
      </c>
      <c r="H206" t="s">
        <v>2275</v>
      </c>
    </row>
    <row r="207" spans="1:8" ht="29">
      <c r="A207" s="103" t="s">
        <v>833</v>
      </c>
      <c r="B207" s="103" t="e">
        <f t="shared" si="3"/>
        <v>#VALUE!</v>
      </c>
      <c r="C207" s="99">
        <v>2</v>
      </c>
      <c r="D207" s="100" t="s">
        <v>18</v>
      </c>
      <c r="E207" s="101" t="s">
        <v>2280</v>
      </c>
      <c r="F207" s="102" t="s">
        <v>136</v>
      </c>
      <c r="G207" s="100" t="s">
        <v>232</v>
      </c>
      <c r="H207" t="s">
        <v>2275</v>
      </c>
    </row>
    <row r="208" spans="1:8" ht="29">
      <c r="A208" s="103" t="s">
        <v>838</v>
      </c>
      <c r="B208" s="103" t="e">
        <f t="shared" si="3"/>
        <v>#VALUE!</v>
      </c>
      <c r="C208" s="99">
        <v>2</v>
      </c>
      <c r="D208" s="100" t="s">
        <v>18</v>
      </c>
      <c r="E208" s="101" t="s">
        <v>2281</v>
      </c>
      <c r="F208" s="102" t="s">
        <v>136</v>
      </c>
      <c r="G208" s="100" t="s">
        <v>232</v>
      </c>
      <c r="H208" t="s">
        <v>2275</v>
      </c>
    </row>
    <row r="209" spans="1:8" ht="29">
      <c r="A209" s="103" t="s">
        <v>2282</v>
      </c>
      <c r="B209" s="103" t="e">
        <f t="shared" si="3"/>
        <v>#VALUE!</v>
      </c>
      <c r="C209" s="99">
        <v>2</v>
      </c>
      <c r="D209" s="100" t="s">
        <v>18</v>
      </c>
      <c r="E209" s="101" t="s">
        <v>2283</v>
      </c>
      <c r="F209" s="102" t="s">
        <v>136</v>
      </c>
      <c r="G209" s="100" t="s">
        <v>232</v>
      </c>
      <c r="H209" t="s">
        <v>2275</v>
      </c>
    </row>
    <row r="210" spans="1:8" ht="43.5">
      <c r="A210" s="103" t="s">
        <v>1814</v>
      </c>
      <c r="B210" s="103" t="str">
        <f t="shared" si="3"/>
        <v>CA</v>
      </c>
      <c r="C210" s="99">
        <v>1</v>
      </c>
      <c r="D210" s="100" t="s">
        <v>129</v>
      </c>
      <c r="E210" s="101" t="s">
        <v>2284</v>
      </c>
      <c r="F210" s="102" t="s">
        <v>115</v>
      </c>
      <c r="G210" s="100" t="s">
        <v>127</v>
      </c>
      <c r="H210" t="s">
        <v>2285</v>
      </c>
    </row>
    <row r="211" spans="1:8" ht="43.5">
      <c r="A211" s="103" t="s">
        <v>1814</v>
      </c>
      <c r="B211" s="103" t="str">
        <f t="shared" si="3"/>
        <v>CA</v>
      </c>
      <c r="C211" s="99">
        <v>1</v>
      </c>
      <c r="D211" s="100" t="s">
        <v>227</v>
      </c>
      <c r="E211" s="101" t="s">
        <v>2286</v>
      </c>
      <c r="F211" s="102" t="s">
        <v>115</v>
      </c>
      <c r="G211" s="100" t="s">
        <v>127</v>
      </c>
      <c r="H211" t="s">
        <v>2285</v>
      </c>
    </row>
    <row r="212" spans="1:8" ht="43.5">
      <c r="A212" s="103" t="s">
        <v>1817</v>
      </c>
      <c r="B212" s="103" t="str">
        <f t="shared" si="3"/>
        <v>CB</v>
      </c>
      <c r="C212" s="99">
        <v>1</v>
      </c>
      <c r="D212" s="100" t="s">
        <v>129</v>
      </c>
      <c r="E212" s="101" t="s">
        <v>2287</v>
      </c>
      <c r="F212" s="102" t="s">
        <v>115</v>
      </c>
      <c r="G212" s="100" t="s">
        <v>127</v>
      </c>
      <c r="H212" t="s">
        <v>2285</v>
      </c>
    </row>
    <row r="213" spans="1:8" ht="43.5">
      <c r="A213" s="103" t="s">
        <v>1817</v>
      </c>
      <c r="B213" s="103" t="str">
        <f t="shared" si="3"/>
        <v>CB</v>
      </c>
      <c r="C213" s="99">
        <v>1</v>
      </c>
      <c r="D213" s="100" t="s">
        <v>227</v>
      </c>
      <c r="E213" s="101" t="s">
        <v>2288</v>
      </c>
      <c r="F213" s="102" t="s">
        <v>115</v>
      </c>
      <c r="G213" s="100" t="s">
        <v>127</v>
      </c>
      <c r="H213" t="s">
        <v>2285</v>
      </c>
    </row>
    <row r="214" spans="1:8" ht="43.5">
      <c r="A214" s="103" t="s">
        <v>1820</v>
      </c>
      <c r="B214" s="103" t="str">
        <f t="shared" si="3"/>
        <v>CC</v>
      </c>
      <c r="C214" s="99">
        <v>1</v>
      </c>
      <c r="D214" s="100" t="s">
        <v>129</v>
      </c>
      <c r="E214" s="101" t="s">
        <v>2289</v>
      </c>
      <c r="F214" s="102" t="s">
        <v>115</v>
      </c>
      <c r="G214" s="100" t="s">
        <v>127</v>
      </c>
      <c r="H214" t="s">
        <v>2285</v>
      </c>
    </row>
    <row r="215" spans="1:8" ht="43.5">
      <c r="A215" s="103" t="s">
        <v>1820</v>
      </c>
      <c r="B215" s="103" t="str">
        <f t="shared" si="3"/>
        <v>CC</v>
      </c>
      <c r="C215" s="99">
        <v>1</v>
      </c>
      <c r="D215" s="100" t="s">
        <v>227</v>
      </c>
      <c r="E215" s="101" t="s">
        <v>2290</v>
      </c>
      <c r="F215" s="102" t="s">
        <v>115</v>
      </c>
      <c r="G215" s="100" t="s">
        <v>127</v>
      </c>
      <c r="H215" t="s">
        <v>2285</v>
      </c>
    </row>
    <row r="216" spans="1:8" ht="43.5">
      <c r="A216" s="103" t="s">
        <v>1823</v>
      </c>
      <c r="B216" s="103" t="str">
        <f t="shared" si="3"/>
        <v>CD</v>
      </c>
      <c r="C216" s="99">
        <v>1</v>
      </c>
      <c r="D216" s="100" t="s">
        <v>129</v>
      </c>
      <c r="E216" s="101" t="s">
        <v>2291</v>
      </c>
      <c r="F216" s="102" t="s">
        <v>115</v>
      </c>
      <c r="G216" s="100" t="s">
        <v>127</v>
      </c>
      <c r="H216" t="s">
        <v>2285</v>
      </c>
    </row>
    <row r="217" spans="1:8" ht="43.5">
      <c r="A217" s="103" t="s">
        <v>1823</v>
      </c>
      <c r="B217" s="103" t="str">
        <f t="shared" si="3"/>
        <v>CD</v>
      </c>
      <c r="C217" s="99">
        <v>1</v>
      </c>
      <c r="D217" s="100" t="s">
        <v>227</v>
      </c>
      <c r="E217" s="101" t="s">
        <v>2292</v>
      </c>
      <c r="F217" s="102" t="s">
        <v>115</v>
      </c>
      <c r="G217" s="100" t="s">
        <v>127</v>
      </c>
      <c r="H217" t="s">
        <v>2285</v>
      </c>
    </row>
    <row r="218" spans="1:8" ht="43.5">
      <c r="A218" s="103" t="s">
        <v>1827</v>
      </c>
      <c r="B218" s="103" t="str">
        <f t="shared" si="3"/>
        <v>CE</v>
      </c>
      <c r="C218" s="99">
        <v>1</v>
      </c>
      <c r="D218" s="100" t="s">
        <v>129</v>
      </c>
      <c r="E218" s="101" t="s">
        <v>2293</v>
      </c>
      <c r="F218" s="102" t="s">
        <v>115</v>
      </c>
      <c r="G218" s="100" t="s">
        <v>127</v>
      </c>
      <c r="H218" t="s">
        <v>1562</v>
      </c>
    </row>
    <row r="219" spans="1:8" ht="43.5">
      <c r="A219" s="103" t="s">
        <v>1827</v>
      </c>
      <c r="B219" s="103" t="str">
        <f t="shared" si="3"/>
        <v>CE</v>
      </c>
      <c r="C219" s="99">
        <v>1</v>
      </c>
      <c r="D219" s="100" t="s">
        <v>130</v>
      </c>
      <c r="E219" s="101" t="s">
        <v>2294</v>
      </c>
      <c r="F219" s="102" t="s">
        <v>115</v>
      </c>
      <c r="G219" s="100" t="s">
        <v>160</v>
      </c>
      <c r="H219" t="s">
        <v>1564</v>
      </c>
    </row>
    <row r="220" spans="1:8" ht="43.5">
      <c r="A220" s="103" t="s">
        <v>1827</v>
      </c>
      <c r="B220" s="103" t="str">
        <f t="shared" si="3"/>
        <v>CE</v>
      </c>
      <c r="C220" s="99">
        <v>1</v>
      </c>
      <c r="D220" s="100" t="s">
        <v>1439</v>
      </c>
      <c r="E220" s="101" t="s">
        <v>2295</v>
      </c>
      <c r="F220" s="102" t="s">
        <v>115</v>
      </c>
      <c r="G220" s="100" t="s">
        <v>137</v>
      </c>
      <c r="H220" t="s">
        <v>1566</v>
      </c>
    </row>
    <row r="221" spans="1:8" ht="43.5">
      <c r="A221" s="103" t="s">
        <v>1830</v>
      </c>
      <c r="B221" s="103" t="str">
        <f t="shared" si="3"/>
        <v>CF</v>
      </c>
      <c r="C221" s="99">
        <v>1</v>
      </c>
      <c r="D221" s="100" t="s">
        <v>129</v>
      </c>
      <c r="E221" s="101" t="s">
        <v>2296</v>
      </c>
      <c r="F221" s="102" t="s">
        <v>115</v>
      </c>
      <c r="G221" s="100" t="s">
        <v>127</v>
      </c>
      <c r="H221" t="s">
        <v>1562</v>
      </c>
    </row>
    <row r="222" spans="1:8" ht="43.5">
      <c r="A222" s="103" t="s">
        <v>1830</v>
      </c>
      <c r="B222" s="103" t="str">
        <f t="shared" si="3"/>
        <v>CF</v>
      </c>
      <c r="C222" s="99">
        <v>1</v>
      </c>
      <c r="D222" s="100" t="s">
        <v>130</v>
      </c>
      <c r="E222" s="101" t="s">
        <v>2297</v>
      </c>
      <c r="F222" s="102" t="s">
        <v>115</v>
      </c>
      <c r="G222" s="100" t="s">
        <v>160</v>
      </c>
      <c r="H222" t="s">
        <v>1564</v>
      </c>
    </row>
    <row r="223" spans="1:8" ht="43.5">
      <c r="A223" s="103" t="s">
        <v>1830</v>
      </c>
      <c r="B223" s="103" t="str">
        <f t="shared" si="3"/>
        <v>CF</v>
      </c>
      <c r="C223" s="99">
        <v>1</v>
      </c>
      <c r="D223" s="100" t="s">
        <v>1439</v>
      </c>
      <c r="E223" s="101" t="s">
        <v>2298</v>
      </c>
      <c r="F223" s="102" t="s">
        <v>115</v>
      </c>
      <c r="G223" s="100" t="s">
        <v>137</v>
      </c>
      <c r="H223" t="s">
        <v>1566</v>
      </c>
    </row>
    <row r="224" spans="1:8" ht="43.5">
      <c r="A224" s="103" t="s">
        <v>1833</v>
      </c>
      <c r="B224" s="103" t="str">
        <f t="shared" si="3"/>
        <v>D0</v>
      </c>
      <c r="C224" s="99">
        <v>1</v>
      </c>
      <c r="D224" s="100" t="s">
        <v>129</v>
      </c>
      <c r="E224" s="101" t="s">
        <v>2299</v>
      </c>
      <c r="F224" s="102" t="s">
        <v>115</v>
      </c>
      <c r="G224" s="100" t="s">
        <v>127</v>
      </c>
      <c r="H224" t="s">
        <v>1562</v>
      </c>
    </row>
    <row r="225" spans="1:8" ht="43.5">
      <c r="A225" s="103" t="s">
        <v>1833</v>
      </c>
      <c r="B225" s="103" t="str">
        <f t="shared" si="3"/>
        <v>D0</v>
      </c>
      <c r="C225" s="99">
        <v>1</v>
      </c>
      <c r="D225" s="100" t="s">
        <v>130</v>
      </c>
      <c r="E225" s="101" t="s">
        <v>2300</v>
      </c>
      <c r="F225" s="102" t="s">
        <v>115</v>
      </c>
      <c r="G225" s="100" t="s">
        <v>160</v>
      </c>
      <c r="H225" t="s">
        <v>1564</v>
      </c>
    </row>
    <row r="226" spans="1:8" ht="43.5">
      <c r="A226" s="103" t="s">
        <v>1833</v>
      </c>
      <c r="B226" s="103" t="str">
        <f t="shared" si="3"/>
        <v>D0</v>
      </c>
      <c r="C226" s="99">
        <v>1</v>
      </c>
      <c r="D226" s="100" t="s">
        <v>1439</v>
      </c>
      <c r="E226" s="101" t="s">
        <v>2301</v>
      </c>
      <c r="F226" s="102" t="s">
        <v>115</v>
      </c>
      <c r="G226" s="100" t="s">
        <v>137</v>
      </c>
      <c r="H226" t="s">
        <v>1566</v>
      </c>
    </row>
    <row r="227" spans="1:8" ht="43.5">
      <c r="A227" s="103" t="s">
        <v>2302</v>
      </c>
      <c r="B227" s="103" t="str">
        <f t="shared" si="3"/>
        <v>D1</v>
      </c>
      <c r="C227" s="99">
        <v>1</v>
      </c>
      <c r="D227" s="100" t="s">
        <v>129</v>
      </c>
      <c r="E227" s="101" t="s">
        <v>2303</v>
      </c>
      <c r="F227" s="102" t="s">
        <v>115</v>
      </c>
      <c r="G227" s="100" t="s">
        <v>127</v>
      </c>
      <c r="H227" t="s">
        <v>1562</v>
      </c>
    </row>
    <row r="228" spans="1:8" ht="43.5">
      <c r="A228" s="103" t="s">
        <v>2302</v>
      </c>
      <c r="B228" s="103" t="str">
        <f t="shared" si="3"/>
        <v>D1</v>
      </c>
      <c r="C228" s="99">
        <v>1</v>
      </c>
      <c r="D228" s="100" t="s">
        <v>130</v>
      </c>
      <c r="E228" s="101" t="s">
        <v>2304</v>
      </c>
      <c r="F228" s="102" t="s">
        <v>115</v>
      </c>
      <c r="G228" s="100" t="s">
        <v>160</v>
      </c>
      <c r="H228" t="s">
        <v>1564</v>
      </c>
    </row>
    <row r="229" spans="1:8" ht="43.5">
      <c r="A229" s="103" t="s">
        <v>2302</v>
      </c>
      <c r="B229" s="103" t="str">
        <f t="shared" si="3"/>
        <v>D1</v>
      </c>
      <c r="C229" s="99">
        <v>1</v>
      </c>
      <c r="D229" s="100" t="s">
        <v>1439</v>
      </c>
      <c r="E229" s="101" t="s">
        <v>2305</v>
      </c>
      <c r="F229" s="102" t="s">
        <v>115</v>
      </c>
      <c r="G229" s="100" t="s">
        <v>137</v>
      </c>
      <c r="H229" t="s">
        <v>1566</v>
      </c>
    </row>
    <row r="230" spans="1:8" ht="43.5">
      <c r="A230" s="103" t="s">
        <v>2306</v>
      </c>
      <c r="B230" s="103" t="str">
        <f t="shared" si="3"/>
        <v>D2</v>
      </c>
      <c r="C230" s="99">
        <v>1</v>
      </c>
      <c r="D230" s="100" t="s">
        <v>129</v>
      </c>
      <c r="E230" s="101" t="s">
        <v>2307</v>
      </c>
      <c r="F230" s="102" t="s">
        <v>115</v>
      </c>
      <c r="G230" s="100" t="s">
        <v>127</v>
      </c>
      <c r="H230" t="s">
        <v>1562</v>
      </c>
    </row>
    <row r="231" spans="1:8" ht="43.5">
      <c r="A231" s="103" t="s">
        <v>2306</v>
      </c>
      <c r="B231" s="103" t="str">
        <f t="shared" si="3"/>
        <v>D2</v>
      </c>
      <c r="C231" s="99">
        <v>1</v>
      </c>
      <c r="D231" s="100" t="s">
        <v>130</v>
      </c>
      <c r="E231" s="101" t="s">
        <v>2308</v>
      </c>
      <c r="F231" s="102" t="s">
        <v>115</v>
      </c>
      <c r="G231" s="100" t="s">
        <v>160</v>
      </c>
      <c r="H231" t="s">
        <v>1564</v>
      </c>
    </row>
    <row r="232" spans="1:8" ht="43.5">
      <c r="A232" s="103" t="s">
        <v>2306</v>
      </c>
      <c r="B232" s="103" t="str">
        <f t="shared" si="3"/>
        <v>D2</v>
      </c>
      <c r="C232" s="99">
        <v>1</v>
      </c>
      <c r="D232" s="100" t="s">
        <v>1439</v>
      </c>
      <c r="E232" s="101" t="s">
        <v>2309</v>
      </c>
      <c r="F232" s="102" t="s">
        <v>115</v>
      </c>
      <c r="G232" s="100" t="s">
        <v>137</v>
      </c>
      <c r="H232" t="s">
        <v>1566</v>
      </c>
    </row>
    <row r="233" spans="1:8" ht="43.5">
      <c r="A233" s="103" t="s">
        <v>2310</v>
      </c>
      <c r="B233" s="103" t="str">
        <f t="shared" si="3"/>
        <v>D3</v>
      </c>
      <c r="C233" s="99">
        <v>1</v>
      </c>
      <c r="D233" s="100" t="s">
        <v>129</v>
      </c>
      <c r="E233" s="101" t="s">
        <v>2311</v>
      </c>
      <c r="F233" s="102" t="s">
        <v>115</v>
      </c>
      <c r="G233" s="100" t="s">
        <v>127</v>
      </c>
      <c r="H233" t="s">
        <v>1562</v>
      </c>
    </row>
    <row r="234" spans="1:8" ht="43.5">
      <c r="A234" s="103" t="s">
        <v>2310</v>
      </c>
      <c r="B234" s="103" t="str">
        <f t="shared" si="3"/>
        <v>D3</v>
      </c>
      <c r="C234" s="99">
        <v>1</v>
      </c>
      <c r="D234" s="100" t="s">
        <v>130</v>
      </c>
      <c r="E234" s="101" t="s">
        <v>2312</v>
      </c>
      <c r="F234" s="102" t="s">
        <v>115</v>
      </c>
      <c r="G234" s="100" t="s">
        <v>160</v>
      </c>
      <c r="H234" t="s">
        <v>1564</v>
      </c>
    </row>
    <row r="235" spans="1:8" ht="43.5">
      <c r="A235" s="103" t="s">
        <v>2310</v>
      </c>
      <c r="B235" s="103" t="str">
        <f t="shared" si="3"/>
        <v>D3</v>
      </c>
      <c r="C235" s="99">
        <v>1</v>
      </c>
      <c r="D235" s="100" t="s">
        <v>1439</v>
      </c>
      <c r="E235" s="101" t="s">
        <v>2313</v>
      </c>
      <c r="F235" s="102" t="s">
        <v>115</v>
      </c>
      <c r="G235" s="100" t="s">
        <v>137</v>
      </c>
      <c r="H235" t="s">
        <v>1566</v>
      </c>
    </row>
    <row r="236" spans="1:8" ht="43.5">
      <c r="A236" s="103" t="s">
        <v>2314</v>
      </c>
      <c r="B236" s="103" t="str">
        <f t="shared" si="3"/>
        <v>D4</v>
      </c>
      <c r="C236" s="99">
        <v>1</v>
      </c>
      <c r="D236" s="100" t="s">
        <v>129</v>
      </c>
      <c r="E236" s="101" t="s">
        <v>2315</v>
      </c>
      <c r="F236" s="102" t="s">
        <v>115</v>
      </c>
      <c r="G236" s="100" t="s">
        <v>127</v>
      </c>
      <c r="H236" t="s">
        <v>1562</v>
      </c>
    </row>
    <row r="237" spans="1:8" ht="43.5">
      <c r="A237" s="103" t="s">
        <v>2314</v>
      </c>
      <c r="B237" s="103" t="str">
        <f t="shared" si="3"/>
        <v>D4</v>
      </c>
      <c r="C237" s="99">
        <v>1</v>
      </c>
      <c r="D237" s="100" t="s">
        <v>130</v>
      </c>
      <c r="E237" s="101" t="s">
        <v>2316</v>
      </c>
      <c r="F237" s="102" t="s">
        <v>115</v>
      </c>
      <c r="G237" s="100" t="s">
        <v>160</v>
      </c>
      <c r="H237" t="s">
        <v>1564</v>
      </c>
    </row>
    <row r="238" spans="1:8" ht="43.5">
      <c r="A238" s="103" t="s">
        <v>2314</v>
      </c>
      <c r="B238" s="103" t="str">
        <f t="shared" si="3"/>
        <v>D4</v>
      </c>
      <c r="C238" s="99">
        <v>1</v>
      </c>
      <c r="D238" s="100" t="s">
        <v>1439</v>
      </c>
      <c r="E238" s="101" t="s">
        <v>2317</v>
      </c>
      <c r="F238" s="102" t="s">
        <v>115</v>
      </c>
      <c r="G238" s="100" t="s">
        <v>137</v>
      </c>
      <c r="H238" t="s">
        <v>1566</v>
      </c>
    </row>
    <row r="239" spans="1:8" ht="43.5">
      <c r="A239" s="103" t="s">
        <v>1837</v>
      </c>
      <c r="B239" s="103" t="str">
        <f t="shared" si="3"/>
        <v>D5</v>
      </c>
      <c r="C239" s="99">
        <v>1</v>
      </c>
      <c r="D239" s="100" t="s">
        <v>129</v>
      </c>
      <c r="E239" s="101" t="s">
        <v>2318</v>
      </c>
      <c r="F239" s="102" t="s">
        <v>115</v>
      </c>
      <c r="G239" s="100" t="s">
        <v>127</v>
      </c>
      <c r="H239" t="s">
        <v>1562</v>
      </c>
    </row>
    <row r="240" spans="1:8" ht="43.5">
      <c r="A240" s="103" t="s">
        <v>1837</v>
      </c>
      <c r="B240" s="103" t="str">
        <f t="shared" si="3"/>
        <v>D5</v>
      </c>
      <c r="C240" s="99">
        <v>1</v>
      </c>
      <c r="D240" s="100" t="s">
        <v>130</v>
      </c>
      <c r="E240" s="101" t="s">
        <v>2319</v>
      </c>
      <c r="F240" s="102" t="s">
        <v>115</v>
      </c>
      <c r="G240" s="100" t="s">
        <v>160</v>
      </c>
      <c r="H240" t="s">
        <v>1564</v>
      </c>
    </row>
    <row r="241" spans="1:8" ht="43.5">
      <c r="A241" s="103" t="s">
        <v>1837</v>
      </c>
      <c r="B241" s="103" t="str">
        <f t="shared" si="3"/>
        <v>D5</v>
      </c>
      <c r="C241" s="99">
        <v>1</v>
      </c>
      <c r="D241" s="100" t="s">
        <v>1439</v>
      </c>
      <c r="E241" s="101" t="s">
        <v>2320</v>
      </c>
      <c r="F241" s="102" t="s">
        <v>115</v>
      </c>
      <c r="G241" s="100" t="s">
        <v>137</v>
      </c>
      <c r="H241" t="s">
        <v>1566</v>
      </c>
    </row>
    <row r="242" spans="1:8" ht="58">
      <c r="A242" s="103" t="s">
        <v>1847</v>
      </c>
      <c r="B242" s="103" t="str">
        <f t="shared" si="3"/>
        <v>D6</v>
      </c>
      <c r="C242" s="99">
        <v>1</v>
      </c>
      <c r="D242" s="100" t="s">
        <v>1424</v>
      </c>
      <c r="E242" s="101" t="s">
        <v>2321</v>
      </c>
      <c r="F242" s="102" t="s">
        <v>136</v>
      </c>
      <c r="G242" s="100" t="s">
        <v>12</v>
      </c>
      <c r="H242" t="s">
        <v>2322</v>
      </c>
    </row>
    <row r="243" spans="1:8" ht="58">
      <c r="A243" s="103" t="s">
        <v>1847</v>
      </c>
      <c r="B243" s="103" t="str">
        <f t="shared" si="3"/>
        <v>D6</v>
      </c>
      <c r="C243" s="99">
        <v>1</v>
      </c>
      <c r="D243" s="100" t="s">
        <v>1427</v>
      </c>
      <c r="E243" s="101" t="s">
        <v>2323</v>
      </c>
      <c r="F243" s="102" t="s">
        <v>136</v>
      </c>
      <c r="G243" s="100" t="s">
        <v>12</v>
      </c>
      <c r="H243" t="s">
        <v>2322</v>
      </c>
    </row>
    <row r="244" spans="1:8" ht="58">
      <c r="A244" s="103" t="s">
        <v>1847</v>
      </c>
      <c r="B244" s="103" t="str">
        <f t="shared" si="3"/>
        <v>D6</v>
      </c>
      <c r="C244" s="99">
        <v>1</v>
      </c>
      <c r="D244" s="100" t="s">
        <v>1429</v>
      </c>
      <c r="E244" s="101" t="s">
        <v>2324</v>
      </c>
      <c r="F244" s="102" t="s">
        <v>136</v>
      </c>
      <c r="G244" s="100" t="s">
        <v>12</v>
      </c>
      <c r="H244" t="s">
        <v>2322</v>
      </c>
    </row>
    <row r="245" spans="1:8" ht="58">
      <c r="A245" s="103" t="s">
        <v>1847</v>
      </c>
      <c r="B245" s="103" t="str">
        <f t="shared" si="3"/>
        <v>D6</v>
      </c>
      <c r="C245" s="99">
        <v>1</v>
      </c>
      <c r="D245" s="100" t="s">
        <v>1431</v>
      </c>
      <c r="E245" s="101" t="s">
        <v>2325</v>
      </c>
      <c r="F245" s="102" t="s">
        <v>136</v>
      </c>
      <c r="G245" s="100" t="s">
        <v>12</v>
      </c>
      <c r="H245" t="s">
        <v>2322</v>
      </c>
    </row>
    <row r="246" spans="1:8" ht="58">
      <c r="A246" s="103" t="s">
        <v>1847</v>
      </c>
      <c r="B246" s="103" t="str">
        <f t="shared" si="3"/>
        <v>D6</v>
      </c>
      <c r="C246" s="99">
        <v>1</v>
      </c>
      <c r="D246" s="100" t="s">
        <v>1433</v>
      </c>
      <c r="E246" s="101" t="s">
        <v>2326</v>
      </c>
      <c r="F246" s="102" t="s">
        <v>136</v>
      </c>
      <c r="G246" s="100" t="s">
        <v>12</v>
      </c>
      <c r="H246" t="s">
        <v>2322</v>
      </c>
    </row>
    <row r="247" spans="1:8" ht="58">
      <c r="A247" s="103" t="s">
        <v>1847</v>
      </c>
      <c r="B247" s="103" t="str">
        <f t="shared" si="3"/>
        <v>D6</v>
      </c>
      <c r="C247" s="99">
        <v>1</v>
      </c>
      <c r="D247" s="100" t="s">
        <v>1435</v>
      </c>
      <c r="E247" s="101" t="s">
        <v>2327</v>
      </c>
      <c r="F247" s="102" t="s">
        <v>136</v>
      </c>
      <c r="G247" s="100" t="s">
        <v>12</v>
      </c>
      <c r="H247" t="s">
        <v>2322</v>
      </c>
    </row>
    <row r="248" spans="1:8" ht="58">
      <c r="A248" s="103" t="s">
        <v>1847</v>
      </c>
      <c r="B248" s="103" t="str">
        <f t="shared" si="3"/>
        <v>D6</v>
      </c>
      <c r="C248" s="99">
        <v>1</v>
      </c>
      <c r="D248" s="100" t="s">
        <v>1437</v>
      </c>
      <c r="E248" s="101" t="s">
        <v>2328</v>
      </c>
      <c r="F248" s="102" t="s">
        <v>136</v>
      </c>
      <c r="G248" s="100" t="s">
        <v>12</v>
      </c>
      <c r="H248" t="s">
        <v>2322</v>
      </c>
    </row>
    <row r="249" spans="1:8" ht="58">
      <c r="A249" s="103" t="s">
        <v>1847</v>
      </c>
      <c r="B249" s="103" t="str">
        <f t="shared" si="3"/>
        <v>D6</v>
      </c>
      <c r="C249" s="99">
        <v>1</v>
      </c>
      <c r="D249" s="100" t="s">
        <v>1439</v>
      </c>
      <c r="E249" s="101" t="s">
        <v>2329</v>
      </c>
      <c r="F249" s="102" t="s">
        <v>136</v>
      </c>
      <c r="G249" s="100" t="s">
        <v>12</v>
      </c>
      <c r="H249" t="s">
        <v>2322</v>
      </c>
    </row>
    <row r="250" spans="1:8" ht="58">
      <c r="A250" s="103" t="s">
        <v>1857</v>
      </c>
      <c r="B250" s="103" t="str">
        <f t="shared" si="3"/>
        <v>D7</v>
      </c>
      <c r="C250" s="99">
        <v>1</v>
      </c>
      <c r="D250" s="100" t="s">
        <v>399</v>
      </c>
      <c r="E250" s="101" t="s">
        <v>2330</v>
      </c>
      <c r="F250" s="102" t="s">
        <v>136</v>
      </c>
      <c r="G250" s="100" t="s">
        <v>32</v>
      </c>
      <c r="H250" t="s">
        <v>2331</v>
      </c>
    </row>
    <row r="251" spans="1:8" ht="58">
      <c r="A251" s="103" t="s">
        <v>1857</v>
      </c>
      <c r="B251" s="103" t="str">
        <f t="shared" si="3"/>
        <v>D7</v>
      </c>
      <c r="C251" s="99">
        <v>1</v>
      </c>
      <c r="D251" s="100" t="s">
        <v>552</v>
      </c>
      <c r="E251" s="101" t="s">
        <v>2332</v>
      </c>
      <c r="F251" s="102" t="s">
        <v>136</v>
      </c>
      <c r="G251" s="100" t="s">
        <v>32</v>
      </c>
      <c r="H251" t="s">
        <v>2331</v>
      </c>
    </row>
    <row r="252" spans="1:8" ht="58">
      <c r="A252" s="103" t="s">
        <v>1857</v>
      </c>
      <c r="B252" s="103" t="str">
        <f t="shared" si="3"/>
        <v>D7</v>
      </c>
      <c r="C252" s="99">
        <v>1</v>
      </c>
      <c r="D252" s="100" t="s">
        <v>698</v>
      </c>
      <c r="E252" s="101" t="s">
        <v>2333</v>
      </c>
      <c r="F252" s="102" t="s">
        <v>136</v>
      </c>
      <c r="G252" s="100" t="s">
        <v>32</v>
      </c>
      <c r="H252" t="s">
        <v>2331</v>
      </c>
    </row>
    <row r="253" spans="1:8" ht="58">
      <c r="A253" s="103" t="s">
        <v>1857</v>
      </c>
      <c r="B253" s="103" t="str">
        <f t="shared" si="3"/>
        <v>D7</v>
      </c>
      <c r="C253" s="99">
        <v>1</v>
      </c>
      <c r="D253" s="100" t="s">
        <v>13</v>
      </c>
      <c r="E253" s="101" t="s">
        <v>2334</v>
      </c>
      <c r="F253" s="102" t="s">
        <v>136</v>
      </c>
      <c r="G253" s="100" t="s">
        <v>32</v>
      </c>
      <c r="H253" t="s">
        <v>2331</v>
      </c>
    </row>
    <row r="254" spans="1:8" ht="58">
      <c r="A254" s="103" t="s">
        <v>1867</v>
      </c>
      <c r="B254" s="103" t="str">
        <f t="shared" si="3"/>
        <v>D8</v>
      </c>
      <c r="C254" s="99">
        <v>1</v>
      </c>
      <c r="D254" s="100" t="s">
        <v>399</v>
      </c>
      <c r="E254" s="101" t="s">
        <v>2335</v>
      </c>
      <c r="F254" s="102" t="s">
        <v>136</v>
      </c>
      <c r="G254" s="100" t="s">
        <v>32</v>
      </c>
      <c r="H254" t="s">
        <v>2331</v>
      </c>
    </row>
    <row r="255" spans="1:8" ht="58">
      <c r="A255" s="103" t="s">
        <v>1867</v>
      </c>
      <c r="B255" s="103" t="str">
        <f t="shared" si="3"/>
        <v>D8</v>
      </c>
      <c r="C255" s="99">
        <v>1</v>
      </c>
      <c r="D255" s="100" t="s">
        <v>552</v>
      </c>
      <c r="E255" s="101" t="s">
        <v>2336</v>
      </c>
      <c r="F255" s="102" t="s">
        <v>136</v>
      </c>
      <c r="G255" s="100" t="s">
        <v>32</v>
      </c>
      <c r="H255" t="s">
        <v>2331</v>
      </c>
    </row>
    <row r="256" spans="1:8" ht="58">
      <c r="A256" s="103" t="s">
        <v>1867</v>
      </c>
      <c r="B256" s="103" t="str">
        <f t="shared" si="3"/>
        <v>D8</v>
      </c>
      <c r="C256" s="99">
        <v>1</v>
      </c>
      <c r="D256" s="100" t="s">
        <v>698</v>
      </c>
      <c r="E256" s="101" t="s">
        <v>2337</v>
      </c>
      <c r="F256" s="102" t="s">
        <v>136</v>
      </c>
      <c r="G256" s="100" t="s">
        <v>32</v>
      </c>
      <c r="H256" t="s">
        <v>2331</v>
      </c>
    </row>
    <row r="257" spans="1:8" ht="58">
      <c r="A257" s="103" t="s">
        <v>1867</v>
      </c>
      <c r="B257" s="103" t="str">
        <f t="shared" si="3"/>
        <v>D8</v>
      </c>
      <c r="C257" s="99">
        <v>1</v>
      </c>
      <c r="D257" s="100" t="s">
        <v>13</v>
      </c>
      <c r="E257" s="101" t="s">
        <v>2338</v>
      </c>
      <c r="F257" s="102" t="s">
        <v>136</v>
      </c>
      <c r="G257" s="100" t="s">
        <v>32</v>
      </c>
      <c r="H257" t="s">
        <v>2331</v>
      </c>
    </row>
    <row r="258" spans="1:8" ht="43.5">
      <c r="A258" s="103" t="s">
        <v>1877</v>
      </c>
      <c r="B258" s="103" t="str">
        <f t="shared" ref="B258:B321" si="4">DEC2HEX(A258, 2)</f>
        <v>D9</v>
      </c>
      <c r="C258" s="99">
        <v>1</v>
      </c>
      <c r="D258" s="100" t="s">
        <v>129</v>
      </c>
      <c r="E258" s="101" t="s">
        <v>2339</v>
      </c>
      <c r="F258" s="102" t="s">
        <v>136</v>
      </c>
      <c r="G258" s="100" t="s">
        <v>30</v>
      </c>
      <c r="H258" t="s">
        <v>2340</v>
      </c>
    </row>
    <row r="259" spans="1:8" ht="43.5">
      <c r="A259" s="103" t="s">
        <v>1877</v>
      </c>
      <c r="B259" s="103" t="str">
        <f t="shared" si="4"/>
        <v>D9</v>
      </c>
      <c r="C259" s="99">
        <v>1</v>
      </c>
      <c r="D259" s="100" t="s">
        <v>227</v>
      </c>
      <c r="E259" s="101" t="s">
        <v>2341</v>
      </c>
      <c r="F259" s="102" t="s">
        <v>136</v>
      </c>
      <c r="G259" s="100" t="s">
        <v>30</v>
      </c>
      <c r="H259" t="s">
        <v>2340</v>
      </c>
    </row>
    <row r="260" spans="1:8" ht="43.5">
      <c r="A260" s="103" t="s">
        <v>1887</v>
      </c>
      <c r="B260" s="103" t="str">
        <f t="shared" si="4"/>
        <v>DA</v>
      </c>
      <c r="C260" s="99">
        <v>1</v>
      </c>
      <c r="D260" s="100" t="s">
        <v>129</v>
      </c>
      <c r="E260" s="101" t="s">
        <v>2342</v>
      </c>
      <c r="F260" s="102" t="s">
        <v>136</v>
      </c>
      <c r="G260" s="100" t="s">
        <v>30</v>
      </c>
      <c r="H260" t="s">
        <v>2340</v>
      </c>
    </row>
    <row r="261" spans="1:8" ht="43.5">
      <c r="A261" s="103" t="s">
        <v>1887</v>
      </c>
      <c r="B261" s="103" t="str">
        <f t="shared" si="4"/>
        <v>DA</v>
      </c>
      <c r="C261" s="99">
        <v>1</v>
      </c>
      <c r="D261" s="100" t="s">
        <v>227</v>
      </c>
      <c r="E261" s="101" t="s">
        <v>2343</v>
      </c>
      <c r="F261" s="102" t="s">
        <v>136</v>
      </c>
      <c r="G261" s="100" t="s">
        <v>30</v>
      </c>
      <c r="H261" t="s">
        <v>2340</v>
      </c>
    </row>
    <row r="262" spans="1:8" ht="43.5">
      <c r="A262" s="103" t="s">
        <v>1897</v>
      </c>
      <c r="B262" s="103" t="str">
        <f t="shared" si="4"/>
        <v>DB</v>
      </c>
      <c r="C262" s="99">
        <v>1</v>
      </c>
      <c r="D262" s="100" t="s">
        <v>129</v>
      </c>
      <c r="E262" s="101" t="s">
        <v>2344</v>
      </c>
      <c r="F262" s="102" t="s">
        <v>136</v>
      </c>
      <c r="G262" s="100" t="s">
        <v>30</v>
      </c>
      <c r="H262" t="s">
        <v>2340</v>
      </c>
    </row>
    <row r="263" spans="1:8" ht="43.5">
      <c r="A263" s="103" t="s">
        <v>1897</v>
      </c>
      <c r="B263" s="103" t="str">
        <f t="shared" si="4"/>
        <v>DB</v>
      </c>
      <c r="C263" s="99">
        <v>1</v>
      </c>
      <c r="D263" s="100" t="s">
        <v>227</v>
      </c>
      <c r="E263" s="101" t="s">
        <v>2345</v>
      </c>
      <c r="F263" s="102" t="s">
        <v>136</v>
      </c>
      <c r="G263" s="100" t="s">
        <v>30</v>
      </c>
      <c r="H263" t="s">
        <v>2340</v>
      </c>
    </row>
    <row r="264" spans="1:8" ht="43.5">
      <c r="A264" s="103" t="s">
        <v>1907</v>
      </c>
      <c r="B264" s="103" t="str">
        <f t="shared" si="4"/>
        <v>DC</v>
      </c>
      <c r="C264" s="99">
        <v>1</v>
      </c>
      <c r="D264" s="100" t="s">
        <v>129</v>
      </c>
      <c r="E264" s="101" t="s">
        <v>2346</v>
      </c>
      <c r="F264" s="102" t="s">
        <v>136</v>
      </c>
      <c r="G264" s="100" t="s">
        <v>30</v>
      </c>
      <c r="H264" t="s">
        <v>2340</v>
      </c>
    </row>
    <row r="265" spans="1:8" ht="43.5">
      <c r="A265" s="103" t="s">
        <v>1907</v>
      </c>
      <c r="B265" s="103" t="str">
        <f t="shared" si="4"/>
        <v>DC</v>
      </c>
      <c r="C265" s="99">
        <v>1</v>
      </c>
      <c r="D265" s="100" t="s">
        <v>227</v>
      </c>
      <c r="E265" s="101" t="s">
        <v>2347</v>
      </c>
      <c r="F265" s="102" t="s">
        <v>136</v>
      </c>
      <c r="G265" s="100" t="s">
        <v>30</v>
      </c>
      <c r="H265" t="s">
        <v>2340</v>
      </c>
    </row>
    <row r="266" spans="1:8" ht="29">
      <c r="A266" s="103" t="s">
        <v>1917</v>
      </c>
      <c r="B266" s="103" t="str">
        <f t="shared" si="4"/>
        <v>DD</v>
      </c>
      <c r="C266" s="99">
        <v>1</v>
      </c>
      <c r="D266" s="100" t="s">
        <v>1424</v>
      </c>
      <c r="E266" s="101" t="s">
        <v>2348</v>
      </c>
      <c r="F266" s="102" t="s">
        <v>136</v>
      </c>
      <c r="G266" s="100" t="s">
        <v>12</v>
      </c>
      <c r="H266" t="s">
        <v>2349</v>
      </c>
    </row>
    <row r="267" spans="1:8" ht="29">
      <c r="A267" s="103" t="s">
        <v>1917</v>
      </c>
      <c r="B267" s="103" t="str">
        <f t="shared" si="4"/>
        <v>DD</v>
      </c>
      <c r="C267" s="99">
        <v>1</v>
      </c>
      <c r="D267" s="100" t="s">
        <v>1427</v>
      </c>
      <c r="E267" s="101" t="s">
        <v>2350</v>
      </c>
      <c r="F267" s="102" t="s">
        <v>136</v>
      </c>
      <c r="G267" s="100" t="s">
        <v>12</v>
      </c>
      <c r="H267" t="s">
        <v>2349</v>
      </c>
    </row>
    <row r="268" spans="1:8" ht="29">
      <c r="A268" s="103" t="s">
        <v>1917</v>
      </c>
      <c r="B268" s="103" t="str">
        <f t="shared" si="4"/>
        <v>DD</v>
      </c>
      <c r="C268" s="99">
        <v>1</v>
      </c>
      <c r="D268" s="100" t="s">
        <v>1429</v>
      </c>
      <c r="E268" s="101" t="s">
        <v>2351</v>
      </c>
      <c r="F268" s="102" t="s">
        <v>136</v>
      </c>
      <c r="G268" s="100" t="s">
        <v>12</v>
      </c>
      <c r="H268" t="s">
        <v>2349</v>
      </c>
    </row>
    <row r="269" spans="1:8" ht="29">
      <c r="A269" s="103" t="s">
        <v>1917</v>
      </c>
      <c r="B269" s="103" t="str">
        <f t="shared" si="4"/>
        <v>DD</v>
      </c>
      <c r="C269" s="99">
        <v>1</v>
      </c>
      <c r="D269" s="100" t="s">
        <v>1431</v>
      </c>
      <c r="E269" s="101" t="s">
        <v>2352</v>
      </c>
      <c r="F269" s="102" t="s">
        <v>136</v>
      </c>
      <c r="G269" s="100" t="s">
        <v>12</v>
      </c>
      <c r="H269" t="s">
        <v>2349</v>
      </c>
    </row>
    <row r="270" spans="1:8" ht="29">
      <c r="A270" s="103" t="s">
        <v>1917</v>
      </c>
      <c r="B270" s="103" t="str">
        <f t="shared" si="4"/>
        <v>DD</v>
      </c>
      <c r="C270" s="99">
        <v>1</v>
      </c>
      <c r="D270" s="100" t="s">
        <v>1433</v>
      </c>
      <c r="E270" s="101" t="s">
        <v>2353</v>
      </c>
      <c r="F270" s="102" t="s">
        <v>136</v>
      </c>
      <c r="G270" s="100" t="s">
        <v>12</v>
      </c>
      <c r="H270" t="s">
        <v>2349</v>
      </c>
    </row>
    <row r="271" spans="1:8" ht="29">
      <c r="A271" s="103" t="s">
        <v>1917</v>
      </c>
      <c r="B271" s="103" t="str">
        <f t="shared" si="4"/>
        <v>DD</v>
      </c>
      <c r="C271" s="99">
        <v>1</v>
      </c>
      <c r="D271" s="100" t="s">
        <v>1435</v>
      </c>
      <c r="E271" s="101" t="s">
        <v>2354</v>
      </c>
      <c r="F271" s="102" t="s">
        <v>136</v>
      </c>
      <c r="G271" s="100" t="s">
        <v>12</v>
      </c>
      <c r="H271" t="s">
        <v>2349</v>
      </c>
    </row>
    <row r="272" spans="1:8" ht="29">
      <c r="A272" s="103" t="s">
        <v>1917</v>
      </c>
      <c r="B272" s="103" t="str">
        <f t="shared" si="4"/>
        <v>DD</v>
      </c>
      <c r="C272" s="99">
        <v>1</v>
      </c>
      <c r="D272" s="100" t="s">
        <v>1437</v>
      </c>
      <c r="E272" s="101" t="s">
        <v>2355</v>
      </c>
      <c r="F272" s="102" t="s">
        <v>136</v>
      </c>
      <c r="G272" s="100" t="s">
        <v>12</v>
      </c>
      <c r="H272" t="s">
        <v>2349</v>
      </c>
    </row>
    <row r="273" spans="1:8" ht="29">
      <c r="A273" s="103" t="s">
        <v>1917</v>
      </c>
      <c r="B273" s="103" t="str">
        <f t="shared" si="4"/>
        <v>DD</v>
      </c>
      <c r="C273" s="99">
        <v>1</v>
      </c>
      <c r="D273" s="100" t="s">
        <v>1439</v>
      </c>
      <c r="E273" s="101" t="s">
        <v>2356</v>
      </c>
      <c r="F273" s="102" t="s">
        <v>136</v>
      </c>
      <c r="G273" s="100" t="s">
        <v>12</v>
      </c>
      <c r="H273" t="s">
        <v>2349</v>
      </c>
    </row>
    <row r="274" spans="1:8" ht="29">
      <c r="A274" s="103" t="s">
        <v>1927</v>
      </c>
      <c r="B274" s="103" t="str">
        <f t="shared" si="4"/>
        <v>DE</v>
      </c>
      <c r="C274" s="99">
        <v>1</v>
      </c>
      <c r="D274" s="100" t="s">
        <v>1424</v>
      </c>
      <c r="E274" s="101" t="s">
        <v>2357</v>
      </c>
      <c r="F274" s="102" t="s">
        <v>136</v>
      </c>
      <c r="G274" s="100" t="s">
        <v>12</v>
      </c>
      <c r="H274" t="s">
        <v>2358</v>
      </c>
    </row>
    <row r="275" spans="1:8" ht="29">
      <c r="A275" s="103" t="s">
        <v>1927</v>
      </c>
      <c r="B275" s="103" t="str">
        <f t="shared" si="4"/>
        <v>DE</v>
      </c>
      <c r="C275" s="99">
        <v>1</v>
      </c>
      <c r="D275" s="100" t="s">
        <v>1427</v>
      </c>
      <c r="E275" s="101" t="s">
        <v>2359</v>
      </c>
      <c r="F275" s="102" t="s">
        <v>136</v>
      </c>
      <c r="G275" s="100" t="s">
        <v>12</v>
      </c>
      <c r="H275" t="s">
        <v>2358</v>
      </c>
    </row>
    <row r="276" spans="1:8" ht="29">
      <c r="A276" s="103" t="s">
        <v>1927</v>
      </c>
      <c r="B276" s="103" t="str">
        <f t="shared" si="4"/>
        <v>DE</v>
      </c>
      <c r="C276" s="99">
        <v>1</v>
      </c>
      <c r="D276" s="100" t="s">
        <v>1429</v>
      </c>
      <c r="E276" s="101" t="s">
        <v>2360</v>
      </c>
      <c r="F276" s="102" t="s">
        <v>136</v>
      </c>
      <c r="G276" s="100" t="s">
        <v>12</v>
      </c>
      <c r="H276" t="s">
        <v>2358</v>
      </c>
    </row>
    <row r="277" spans="1:8" ht="29">
      <c r="A277" s="103" t="s">
        <v>1927</v>
      </c>
      <c r="B277" s="103" t="str">
        <f t="shared" si="4"/>
        <v>DE</v>
      </c>
      <c r="C277" s="99">
        <v>1</v>
      </c>
      <c r="D277" s="100" t="s">
        <v>1431</v>
      </c>
      <c r="E277" s="101" t="s">
        <v>2361</v>
      </c>
      <c r="F277" s="102" t="s">
        <v>136</v>
      </c>
      <c r="G277" s="100" t="s">
        <v>12</v>
      </c>
      <c r="H277" t="s">
        <v>2358</v>
      </c>
    </row>
    <row r="278" spans="1:8" ht="29">
      <c r="A278" s="103" t="s">
        <v>1927</v>
      </c>
      <c r="B278" s="103" t="str">
        <f t="shared" si="4"/>
        <v>DE</v>
      </c>
      <c r="C278" s="99">
        <v>1</v>
      </c>
      <c r="D278" s="100" t="s">
        <v>1433</v>
      </c>
      <c r="E278" s="101" t="s">
        <v>2362</v>
      </c>
      <c r="F278" s="102" t="s">
        <v>136</v>
      </c>
      <c r="G278" s="100" t="s">
        <v>12</v>
      </c>
      <c r="H278" t="s">
        <v>2358</v>
      </c>
    </row>
    <row r="279" spans="1:8" ht="29">
      <c r="A279" s="103" t="s">
        <v>1927</v>
      </c>
      <c r="B279" s="103" t="str">
        <f t="shared" si="4"/>
        <v>DE</v>
      </c>
      <c r="C279" s="99">
        <v>1</v>
      </c>
      <c r="D279" s="100" t="s">
        <v>1435</v>
      </c>
      <c r="E279" s="101" t="s">
        <v>2363</v>
      </c>
      <c r="F279" s="102" t="s">
        <v>136</v>
      </c>
      <c r="G279" s="100" t="s">
        <v>12</v>
      </c>
      <c r="H279" t="s">
        <v>2358</v>
      </c>
    </row>
    <row r="280" spans="1:8" ht="29">
      <c r="A280" s="103" t="s">
        <v>1927</v>
      </c>
      <c r="B280" s="103" t="str">
        <f t="shared" si="4"/>
        <v>DE</v>
      </c>
      <c r="C280" s="99">
        <v>1</v>
      </c>
      <c r="D280" s="100" t="s">
        <v>1437</v>
      </c>
      <c r="E280" s="101" t="s">
        <v>2364</v>
      </c>
      <c r="F280" s="102" t="s">
        <v>136</v>
      </c>
      <c r="G280" s="100" t="s">
        <v>12</v>
      </c>
      <c r="H280" t="s">
        <v>2358</v>
      </c>
    </row>
    <row r="281" spans="1:8" ht="29">
      <c r="A281" s="103" t="s">
        <v>1927</v>
      </c>
      <c r="B281" s="103" t="str">
        <f t="shared" si="4"/>
        <v>DE</v>
      </c>
      <c r="C281" s="99">
        <v>1</v>
      </c>
      <c r="D281" s="100" t="s">
        <v>1439</v>
      </c>
      <c r="E281" s="101" t="s">
        <v>2365</v>
      </c>
      <c r="F281" s="102" t="s">
        <v>136</v>
      </c>
      <c r="G281" s="100" t="s">
        <v>12</v>
      </c>
      <c r="H281" t="s">
        <v>2358</v>
      </c>
    </row>
    <row r="282" spans="1:8" ht="58">
      <c r="A282" s="103" t="s">
        <v>1937</v>
      </c>
      <c r="B282" s="103" t="str">
        <f t="shared" si="4"/>
        <v>DF</v>
      </c>
      <c r="C282" s="99">
        <v>1</v>
      </c>
      <c r="D282" s="100" t="s">
        <v>129</v>
      </c>
      <c r="E282" s="101" t="s">
        <v>2366</v>
      </c>
      <c r="F282" s="102" t="s">
        <v>136</v>
      </c>
      <c r="G282" s="100" t="s">
        <v>544</v>
      </c>
      <c r="H282" t="s">
        <v>2367</v>
      </c>
    </row>
    <row r="283" spans="1:8" ht="58">
      <c r="A283" s="103" t="s">
        <v>1937</v>
      </c>
      <c r="B283" s="103" t="str">
        <f t="shared" si="4"/>
        <v>DF</v>
      </c>
      <c r="C283" s="99">
        <v>1</v>
      </c>
      <c r="D283" s="100" t="s">
        <v>227</v>
      </c>
      <c r="E283" s="101" t="s">
        <v>2368</v>
      </c>
      <c r="F283" s="102" t="s">
        <v>136</v>
      </c>
      <c r="G283" s="100" t="s">
        <v>544</v>
      </c>
      <c r="H283" t="s">
        <v>2367</v>
      </c>
    </row>
    <row r="284" spans="1:8" ht="58">
      <c r="A284" s="103" t="s">
        <v>1947</v>
      </c>
      <c r="B284" s="103" t="str">
        <f t="shared" si="4"/>
        <v>E0</v>
      </c>
      <c r="C284" s="99">
        <v>1</v>
      </c>
      <c r="D284" s="100" t="s">
        <v>129</v>
      </c>
      <c r="E284" s="101" t="s">
        <v>2369</v>
      </c>
      <c r="F284" s="102" t="s">
        <v>136</v>
      </c>
      <c r="G284" s="100" t="s">
        <v>544</v>
      </c>
      <c r="H284" t="s">
        <v>2367</v>
      </c>
    </row>
    <row r="285" spans="1:8" ht="58">
      <c r="A285" s="103" t="s">
        <v>1947</v>
      </c>
      <c r="B285" s="103" t="str">
        <f t="shared" si="4"/>
        <v>E0</v>
      </c>
      <c r="C285" s="99">
        <v>1</v>
      </c>
      <c r="D285" s="100" t="s">
        <v>227</v>
      </c>
      <c r="E285" s="101" t="s">
        <v>2370</v>
      </c>
      <c r="F285" s="102" t="s">
        <v>136</v>
      </c>
      <c r="G285" s="100" t="s">
        <v>544</v>
      </c>
      <c r="H285" t="s">
        <v>2367</v>
      </c>
    </row>
    <row r="286" spans="1:8" ht="58">
      <c r="A286" s="103" t="s">
        <v>1957</v>
      </c>
      <c r="B286" s="103" t="str">
        <f t="shared" si="4"/>
        <v>E1</v>
      </c>
      <c r="C286" s="99">
        <v>1</v>
      </c>
      <c r="D286" s="100" t="s">
        <v>129</v>
      </c>
      <c r="E286" s="101" t="s">
        <v>2371</v>
      </c>
      <c r="F286" s="102" t="s">
        <v>136</v>
      </c>
      <c r="G286" s="100" t="s">
        <v>544</v>
      </c>
      <c r="H286" t="s">
        <v>2367</v>
      </c>
    </row>
    <row r="287" spans="1:8" ht="58">
      <c r="A287" s="103" t="s">
        <v>1957</v>
      </c>
      <c r="B287" s="103" t="str">
        <f t="shared" si="4"/>
        <v>E1</v>
      </c>
      <c r="C287" s="99">
        <v>1</v>
      </c>
      <c r="D287" s="100" t="s">
        <v>227</v>
      </c>
      <c r="E287" s="101" t="s">
        <v>2372</v>
      </c>
      <c r="F287" s="102" t="s">
        <v>136</v>
      </c>
      <c r="G287" s="100" t="s">
        <v>544</v>
      </c>
      <c r="H287" t="s">
        <v>2367</v>
      </c>
    </row>
    <row r="288" spans="1:8" ht="58">
      <c r="A288" s="103" t="s">
        <v>1967</v>
      </c>
      <c r="B288" s="103" t="str">
        <f t="shared" si="4"/>
        <v>E2</v>
      </c>
      <c r="C288" s="99">
        <v>1</v>
      </c>
      <c r="D288" s="100" t="s">
        <v>129</v>
      </c>
      <c r="E288" s="101" t="s">
        <v>2373</v>
      </c>
      <c r="F288" s="102" t="s">
        <v>136</v>
      </c>
      <c r="G288" s="100" t="s">
        <v>544</v>
      </c>
      <c r="H288" t="s">
        <v>2367</v>
      </c>
    </row>
    <row r="289" spans="1:8" ht="58">
      <c r="A289" s="103" t="s">
        <v>1967</v>
      </c>
      <c r="B289" s="103" t="str">
        <f t="shared" si="4"/>
        <v>E2</v>
      </c>
      <c r="C289" s="99">
        <v>1</v>
      </c>
      <c r="D289" s="100" t="s">
        <v>227</v>
      </c>
      <c r="E289" s="101" t="s">
        <v>2374</v>
      </c>
      <c r="F289" s="102" t="s">
        <v>136</v>
      </c>
      <c r="G289" s="100" t="s">
        <v>544</v>
      </c>
      <c r="H289" t="s">
        <v>2367</v>
      </c>
    </row>
    <row r="290" spans="1:8" ht="58">
      <c r="A290" s="103" t="s">
        <v>1977</v>
      </c>
      <c r="B290" s="103" t="str">
        <f t="shared" si="4"/>
        <v>E3</v>
      </c>
      <c r="C290" s="99">
        <v>1</v>
      </c>
      <c r="D290" s="100" t="s">
        <v>129</v>
      </c>
      <c r="E290" s="101" t="s">
        <v>2375</v>
      </c>
      <c r="F290" s="102" t="s">
        <v>136</v>
      </c>
      <c r="G290" s="100" t="s">
        <v>544</v>
      </c>
      <c r="H290" t="s">
        <v>2376</v>
      </c>
    </row>
    <row r="291" spans="1:8" ht="58">
      <c r="A291" s="103" t="s">
        <v>1977</v>
      </c>
      <c r="B291" s="103" t="str">
        <f t="shared" si="4"/>
        <v>E3</v>
      </c>
      <c r="C291" s="99">
        <v>1</v>
      </c>
      <c r="D291" s="100" t="s">
        <v>227</v>
      </c>
      <c r="E291" s="101" t="s">
        <v>2377</v>
      </c>
      <c r="F291" s="102" t="s">
        <v>136</v>
      </c>
      <c r="G291" s="100" t="s">
        <v>544</v>
      </c>
      <c r="H291" t="s">
        <v>2376</v>
      </c>
    </row>
    <row r="292" spans="1:8" ht="58">
      <c r="A292" s="103" t="s">
        <v>1987</v>
      </c>
      <c r="B292" s="103" t="str">
        <f t="shared" si="4"/>
        <v>E4</v>
      </c>
      <c r="C292" s="99">
        <v>1</v>
      </c>
      <c r="D292" s="100" t="s">
        <v>129</v>
      </c>
      <c r="E292" s="101" t="s">
        <v>2378</v>
      </c>
      <c r="F292" s="102" t="s">
        <v>136</v>
      </c>
      <c r="G292" s="100" t="s">
        <v>544</v>
      </c>
      <c r="H292" t="s">
        <v>2376</v>
      </c>
    </row>
    <row r="293" spans="1:8" ht="58">
      <c r="A293" s="103" t="s">
        <v>1987</v>
      </c>
      <c r="B293" s="103" t="str">
        <f t="shared" si="4"/>
        <v>E4</v>
      </c>
      <c r="C293" s="99">
        <v>1</v>
      </c>
      <c r="D293" s="100" t="s">
        <v>227</v>
      </c>
      <c r="E293" s="101" t="s">
        <v>2379</v>
      </c>
      <c r="F293" s="102" t="s">
        <v>136</v>
      </c>
      <c r="G293" s="100" t="s">
        <v>544</v>
      </c>
      <c r="H293" t="s">
        <v>2376</v>
      </c>
    </row>
    <row r="294" spans="1:8" ht="58">
      <c r="A294" s="103" t="s">
        <v>1997</v>
      </c>
      <c r="B294" s="103" t="str">
        <f t="shared" si="4"/>
        <v>E5</v>
      </c>
      <c r="C294" s="99">
        <v>1</v>
      </c>
      <c r="D294" s="100" t="s">
        <v>129</v>
      </c>
      <c r="E294" s="101" t="s">
        <v>2380</v>
      </c>
      <c r="F294" s="102" t="s">
        <v>136</v>
      </c>
      <c r="G294" s="100" t="s">
        <v>544</v>
      </c>
      <c r="H294" t="s">
        <v>2376</v>
      </c>
    </row>
    <row r="295" spans="1:8" ht="58">
      <c r="A295" s="103" t="s">
        <v>1997</v>
      </c>
      <c r="B295" s="103" t="str">
        <f t="shared" si="4"/>
        <v>E5</v>
      </c>
      <c r="C295" s="99">
        <v>1</v>
      </c>
      <c r="D295" s="100" t="s">
        <v>227</v>
      </c>
      <c r="E295" s="101" t="s">
        <v>2381</v>
      </c>
      <c r="F295" s="102" t="s">
        <v>136</v>
      </c>
      <c r="G295" s="100" t="s">
        <v>544</v>
      </c>
      <c r="H295" t="s">
        <v>2376</v>
      </c>
    </row>
    <row r="296" spans="1:8" ht="58">
      <c r="A296" s="103" t="s">
        <v>2007</v>
      </c>
      <c r="B296" s="103" t="str">
        <f t="shared" si="4"/>
        <v>E6</v>
      </c>
      <c r="C296" s="99">
        <v>1</v>
      </c>
      <c r="D296" s="100" t="s">
        <v>129</v>
      </c>
      <c r="E296" s="101" t="s">
        <v>2382</v>
      </c>
      <c r="F296" s="102" t="s">
        <v>136</v>
      </c>
      <c r="G296" s="100" t="s">
        <v>544</v>
      </c>
      <c r="H296" t="s">
        <v>2376</v>
      </c>
    </row>
    <row r="297" spans="1:8" ht="58">
      <c r="A297" s="103" t="s">
        <v>2007</v>
      </c>
      <c r="B297" s="103" t="str">
        <f t="shared" si="4"/>
        <v>E6</v>
      </c>
      <c r="C297" s="99">
        <v>1</v>
      </c>
      <c r="D297" s="100" t="s">
        <v>227</v>
      </c>
      <c r="E297" s="101" t="s">
        <v>2383</v>
      </c>
      <c r="F297" s="102" t="s">
        <v>136</v>
      </c>
      <c r="G297" s="100" t="s">
        <v>544</v>
      </c>
      <c r="H297" t="s">
        <v>2376</v>
      </c>
    </row>
    <row r="298" spans="1:8" ht="58">
      <c r="A298" s="103" t="s">
        <v>2017</v>
      </c>
      <c r="B298" s="103" t="str">
        <f t="shared" si="4"/>
        <v>E7</v>
      </c>
      <c r="C298" s="99">
        <v>1</v>
      </c>
      <c r="D298" s="100" t="s">
        <v>129</v>
      </c>
      <c r="E298" s="101" t="s">
        <v>2384</v>
      </c>
      <c r="F298" s="102" t="s">
        <v>136</v>
      </c>
      <c r="G298" s="100" t="s">
        <v>544</v>
      </c>
      <c r="H298" t="s">
        <v>2385</v>
      </c>
    </row>
    <row r="299" spans="1:8" ht="58">
      <c r="A299" s="103" t="s">
        <v>2017</v>
      </c>
      <c r="B299" s="103" t="str">
        <f t="shared" si="4"/>
        <v>E7</v>
      </c>
      <c r="C299" s="99">
        <v>1</v>
      </c>
      <c r="D299" s="100" t="s">
        <v>227</v>
      </c>
      <c r="E299" s="101" t="s">
        <v>2386</v>
      </c>
      <c r="F299" s="102" t="s">
        <v>136</v>
      </c>
      <c r="G299" s="100" t="s">
        <v>544</v>
      </c>
      <c r="H299" t="s">
        <v>2385</v>
      </c>
    </row>
    <row r="300" spans="1:8" ht="58">
      <c r="A300" s="103" t="s">
        <v>2027</v>
      </c>
      <c r="B300" s="103" t="str">
        <f t="shared" si="4"/>
        <v>E8</v>
      </c>
      <c r="C300" s="99">
        <v>1</v>
      </c>
      <c r="D300" s="100" t="s">
        <v>129</v>
      </c>
      <c r="E300" s="101" t="s">
        <v>2387</v>
      </c>
      <c r="F300" s="102" t="s">
        <v>136</v>
      </c>
      <c r="G300" s="100" t="s">
        <v>544</v>
      </c>
      <c r="H300" t="s">
        <v>2385</v>
      </c>
    </row>
    <row r="301" spans="1:8" ht="58">
      <c r="A301" s="103" t="s">
        <v>2027</v>
      </c>
      <c r="B301" s="103" t="str">
        <f t="shared" si="4"/>
        <v>E8</v>
      </c>
      <c r="C301" s="99">
        <v>1</v>
      </c>
      <c r="D301" s="100" t="s">
        <v>227</v>
      </c>
      <c r="E301" s="101" t="s">
        <v>2388</v>
      </c>
      <c r="F301" s="102" t="s">
        <v>136</v>
      </c>
      <c r="G301" s="100" t="s">
        <v>544</v>
      </c>
      <c r="H301" t="s">
        <v>2385</v>
      </c>
    </row>
    <row r="302" spans="1:8" ht="58">
      <c r="A302" s="103" t="s">
        <v>2389</v>
      </c>
      <c r="B302" s="103" t="str">
        <f t="shared" si="4"/>
        <v>E9</v>
      </c>
      <c r="C302" s="99">
        <v>1</v>
      </c>
      <c r="D302" s="100" t="s">
        <v>129</v>
      </c>
      <c r="E302" s="101" t="s">
        <v>2390</v>
      </c>
      <c r="F302" s="102" t="s">
        <v>136</v>
      </c>
      <c r="G302" s="100" t="s">
        <v>544</v>
      </c>
      <c r="H302" t="s">
        <v>2385</v>
      </c>
    </row>
    <row r="303" spans="1:8" ht="58">
      <c r="A303" s="103" t="s">
        <v>2389</v>
      </c>
      <c r="B303" s="103" t="str">
        <f t="shared" si="4"/>
        <v>E9</v>
      </c>
      <c r="C303" s="99">
        <v>1</v>
      </c>
      <c r="D303" s="100" t="s">
        <v>227</v>
      </c>
      <c r="E303" s="101" t="s">
        <v>2391</v>
      </c>
      <c r="F303" s="102" t="s">
        <v>136</v>
      </c>
      <c r="G303" s="100" t="s">
        <v>544</v>
      </c>
      <c r="H303" t="s">
        <v>2385</v>
      </c>
    </row>
    <row r="304" spans="1:8" ht="58">
      <c r="A304" s="103" t="s">
        <v>2392</v>
      </c>
      <c r="B304" s="103" t="str">
        <f t="shared" si="4"/>
        <v>EA</v>
      </c>
      <c r="C304" s="99">
        <v>1</v>
      </c>
      <c r="D304" s="100" t="s">
        <v>129</v>
      </c>
      <c r="E304" s="101" t="s">
        <v>2393</v>
      </c>
      <c r="F304" s="102" t="s">
        <v>136</v>
      </c>
      <c r="G304" s="100" t="s">
        <v>544</v>
      </c>
      <c r="H304" t="s">
        <v>2385</v>
      </c>
    </row>
    <row r="305" spans="1:8" ht="58">
      <c r="A305" s="103" t="s">
        <v>2392</v>
      </c>
      <c r="B305" s="103" t="str">
        <f t="shared" si="4"/>
        <v>EA</v>
      </c>
      <c r="C305" s="99">
        <v>1</v>
      </c>
      <c r="D305" s="100" t="s">
        <v>227</v>
      </c>
      <c r="E305" s="101" t="s">
        <v>2394</v>
      </c>
      <c r="F305" s="102" t="s">
        <v>136</v>
      </c>
      <c r="G305" s="100" t="s">
        <v>544</v>
      </c>
      <c r="H305" t="s">
        <v>2385</v>
      </c>
    </row>
    <row r="306" spans="1:8" ht="43.5">
      <c r="A306" s="103" t="s">
        <v>2395</v>
      </c>
      <c r="B306" s="103" t="str">
        <f t="shared" si="4"/>
        <v>EB</v>
      </c>
      <c r="C306" s="99">
        <v>1</v>
      </c>
      <c r="D306" s="100" t="s">
        <v>1424</v>
      </c>
      <c r="E306" s="101" t="s">
        <v>2396</v>
      </c>
      <c r="F306" s="102" t="s">
        <v>115</v>
      </c>
      <c r="G306" s="100" t="s">
        <v>12</v>
      </c>
      <c r="H306" t="s">
        <v>2397</v>
      </c>
    </row>
    <row r="307" spans="1:8" ht="43.5">
      <c r="A307" s="103" t="s">
        <v>2395</v>
      </c>
      <c r="B307" s="103" t="str">
        <f t="shared" si="4"/>
        <v>EB</v>
      </c>
      <c r="C307" s="99">
        <v>1</v>
      </c>
      <c r="D307" s="100" t="s">
        <v>1427</v>
      </c>
      <c r="E307" s="101" t="s">
        <v>2398</v>
      </c>
      <c r="F307" s="102" t="s">
        <v>115</v>
      </c>
      <c r="G307" s="100" t="s">
        <v>12</v>
      </c>
      <c r="H307" t="s">
        <v>2397</v>
      </c>
    </row>
    <row r="308" spans="1:8" ht="43.5">
      <c r="A308" s="103" t="s">
        <v>2395</v>
      </c>
      <c r="B308" s="103" t="str">
        <f t="shared" si="4"/>
        <v>EB</v>
      </c>
      <c r="C308" s="99">
        <v>1</v>
      </c>
      <c r="D308" s="100" t="s">
        <v>1429</v>
      </c>
      <c r="E308" s="101" t="s">
        <v>2399</v>
      </c>
      <c r="F308" s="102" t="s">
        <v>115</v>
      </c>
      <c r="G308" s="100" t="s">
        <v>12</v>
      </c>
      <c r="H308" t="s">
        <v>2397</v>
      </c>
    </row>
    <row r="309" spans="1:8" ht="43.5">
      <c r="A309" s="103" t="s">
        <v>2395</v>
      </c>
      <c r="B309" s="103" t="str">
        <f t="shared" si="4"/>
        <v>EB</v>
      </c>
      <c r="C309" s="99">
        <v>1</v>
      </c>
      <c r="D309" s="100" t="s">
        <v>1431</v>
      </c>
      <c r="E309" s="101" t="s">
        <v>2400</v>
      </c>
      <c r="F309" s="102" t="s">
        <v>115</v>
      </c>
      <c r="G309" s="100" t="s">
        <v>12</v>
      </c>
      <c r="H309" t="s">
        <v>2397</v>
      </c>
    </row>
    <row r="310" spans="1:8" ht="43.5">
      <c r="A310" s="103" t="s">
        <v>2395</v>
      </c>
      <c r="B310" s="103" t="str">
        <f t="shared" si="4"/>
        <v>EB</v>
      </c>
      <c r="C310" s="99">
        <v>1</v>
      </c>
      <c r="D310" s="100" t="s">
        <v>1433</v>
      </c>
      <c r="E310" s="101" t="s">
        <v>2401</v>
      </c>
      <c r="F310" s="102" t="s">
        <v>115</v>
      </c>
      <c r="G310" s="100" t="s">
        <v>12</v>
      </c>
      <c r="H310" t="s">
        <v>2397</v>
      </c>
    </row>
    <row r="311" spans="1:8" ht="43.5">
      <c r="A311" s="103" t="s">
        <v>2395</v>
      </c>
      <c r="B311" s="103" t="str">
        <f t="shared" si="4"/>
        <v>EB</v>
      </c>
      <c r="C311" s="99">
        <v>1</v>
      </c>
      <c r="D311" s="100" t="s">
        <v>1435</v>
      </c>
      <c r="E311" s="101" t="s">
        <v>2402</v>
      </c>
      <c r="F311" s="102" t="s">
        <v>115</v>
      </c>
      <c r="G311" s="100" t="s">
        <v>12</v>
      </c>
      <c r="H311" t="s">
        <v>2397</v>
      </c>
    </row>
    <row r="312" spans="1:8" ht="43.5">
      <c r="A312" s="103" t="s">
        <v>2395</v>
      </c>
      <c r="B312" s="103" t="str">
        <f t="shared" si="4"/>
        <v>EB</v>
      </c>
      <c r="C312" s="99">
        <v>1</v>
      </c>
      <c r="D312" s="100" t="s">
        <v>1437</v>
      </c>
      <c r="E312" s="101" t="s">
        <v>2403</v>
      </c>
      <c r="F312" s="102" t="s">
        <v>115</v>
      </c>
      <c r="G312" s="100" t="s">
        <v>12</v>
      </c>
      <c r="H312" t="s">
        <v>2397</v>
      </c>
    </row>
    <row r="313" spans="1:8" ht="43.5">
      <c r="A313" s="103" t="s">
        <v>2395</v>
      </c>
      <c r="B313" s="103" t="str">
        <f t="shared" si="4"/>
        <v>EB</v>
      </c>
      <c r="C313" s="99">
        <v>1</v>
      </c>
      <c r="D313" s="100" t="s">
        <v>1439</v>
      </c>
      <c r="E313" s="101" t="s">
        <v>2404</v>
      </c>
      <c r="F313" s="102" t="s">
        <v>115</v>
      </c>
      <c r="G313" s="100" t="s">
        <v>12</v>
      </c>
      <c r="H313" t="s">
        <v>2397</v>
      </c>
    </row>
    <row r="314" spans="1:8" ht="29">
      <c r="A314" s="103" t="s">
        <v>2405</v>
      </c>
      <c r="B314" s="103" t="e">
        <f t="shared" si="4"/>
        <v>#VALUE!</v>
      </c>
      <c r="C314" s="99">
        <v>4</v>
      </c>
      <c r="D314" s="100" t="s">
        <v>18</v>
      </c>
      <c r="E314" s="101" t="s">
        <v>703</v>
      </c>
      <c r="F314" s="102" t="s">
        <v>9</v>
      </c>
      <c r="G314" s="100" t="s">
        <v>353</v>
      </c>
      <c r="H314" t="s">
        <v>1537</v>
      </c>
    </row>
    <row r="315" spans="1:8" ht="72.5">
      <c r="A315" s="103" t="s">
        <v>2406</v>
      </c>
      <c r="B315" s="103" t="str">
        <f t="shared" si="4"/>
        <v>F0</v>
      </c>
      <c r="C315" s="99">
        <v>1</v>
      </c>
      <c r="D315" s="100" t="s">
        <v>129</v>
      </c>
      <c r="E315" s="101" t="s">
        <v>2407</v>
      </c>
      <c r="F315" s="102" t="s">
        <v>406</v>
      </c>
      <c r="G315" s="100" t="s">
        <v>30</v>
      </c>
      <c r="H315" t="s">
        <v>2408</v>
      </c>
    </row>
    <row r="316" spans="1:8" ht="58">
      <c r="A316" s="103" t="s">
        <v>2406</v>
      </c>
      <c r="B316" s="103" t="str">
        <f t="shared" si="4"/>
        <v>F0</v>
      </c>
      <c r="C316" s="99">
        <v>1</v>
      </c>
      <c r="D316" s="100" t="s">
        <v>227</v>
      </c>
      <c r="E316" s="101" t="s">
        <v>2409</v>
      </c>
      <c r="F316" s="102" t="s">
        <v>406</v>
      </c>
      <c r="G316" s="100" t="s">
        <v>30</v>
      </c>
      <c r="H316" t="s">
        <v>2410</v>
      </c>
    </row>
    <row r="317" spans="1:8" ht="72.5">
      <c r="A317" s="103" t="s">
        <v>2411</v>
      </c>
      <c r="B317" s="103" t="str">
        <f t="shared" si="4"/>
        <v>F1</v>
      </c>
      <c r="C317" s="99">
        <v>1</v>
      </c>
      <c r="D317" s="100" t="s">
        <v>129</v>
      </c>
      <c r="E317" s="101" t="s">
        <v>2412</v>
      </c>
      <c r="F317" s="102" t="s">
        <v>406</v>
      </c>
      <c r="G317" s="100" t="s">
        <v>30</v>
      </c>
      <c r="H317" t="s">
        <v>2408</v>
      </c>
    </row>
    <row r="318" spans="1:8" ht="58">
      <c r="A318" s="103" t="s">
        <v>2411</v>
      </c>
      <c r="B318" s="103" t="str">
        <f t="shared" si="4"/>
        <v>F1</v>
      </c>
      <c r="C318" s="99">
        <v>1</v>
      </c>
      <c r="D318" s="100" t="s">
        <v>227</v>
      </c>
      <c r="E318" s="101" t="s">
        <v>2413</v>
      </c>
      <c r="F318" s="102" t="s">
        <v>406</v>
      </c>
      <c r="G318" s="100" t="s">
        <v>30</v>
      </c>
      <c r="H318" t="s">
        <v>2410</v>
      </c>
    </row>
    <row r="319" spans="1:8" ht="72.5">
      <c r="A319" s="103" t="s">
        <v>2414</v>
      </c>
      <c r="B319" s="103" t="str">
        <f t="shared" si="4"/>
        <v>F2</v>
      </c>
      <c r="C319" s="99">
        <v>1</v>
      </c>
      <c r="D319" s="100" t="s">
        <v>129</v>
      </c>
      <c r="E319" s="101" t="s">
        <v>2415</v>
      </c>
      <c r="F319" s="102" t="s">
        <v>406</v>
      </c>
      <c r="G319" s="100" t="s">
        <v>30</v>
      </c>
      <c r="H319" t="s">
        <v>2408</v>
      </c>
    </row>
    <row r="320" spans="1:8" ht="58">
      <c r="A320" s="103" t="s">
        <v>2414</v>
      </c>
      <c r="B320" s="103" t="str">
        <f t="shared" si="4"/>
        <v>F2</v>
      </c>
      <c r="C320" s="99">
        <v>1</v>
      </c>
      <c r="D320" s="100" t="s">
        <v>227</v>
      </c>
      <c r="E320" s="101" t="s">
        <v>2416</v>
      </c>
      <c r="F320" s="102" t="s">
        <v>406</v>
      </c>
      <c r="G320" s="100" t="s">
        <v>30</v>
      </c>
      <c r="H320" t="s">
        <v>2410</v>
      </c>
    </row>
    <row r="321" spans="1:8" ht="72.5">
      <c r="A321" s="103" t="s">
        <v>2417</v>
      </c>
      <c r="B321" s="103" t="str">
        <f t="shared" si="4"/>
        <v>F3</v>
      </c>
      <c r="C321" s="99">
        <v>1</v>
      </c>
      <c r="D321" s="100" t="s">
        <v>129</v>
      </c>
      <c r="E321" s="101" t="s">
        <v>2418</v>
      </c>
      <c r="F321" s="102" t="s">
        <v>406</v>
      </c>
      <c r="G321" s="100" t="s">
        <v>30</v>
      </c>
      <c r="H321" t="s">
        <v>2408</v>
      </c>
    </row>
    <row r="322" spans="1:8" ht="58">
      <c r="A322" s="103" t="s">
        <v>2417</v>
      </c>
      <c r="B322" s="103" t="str">
        <f t="shared" ref="B322:B385" si="5">DEC2HEX(A322, 2)</f>
        <v>F3</v>
      </c>
      <c r="C322" s="99">
        <v>1</v>
      </c>
      <c r="D322" s="100" t="s">
        <v>227</v>
      </c>
      <c r="E322" s="101" t="s">
        <v>2419</v>
      </c>
      <c r="F322" s="102" t="s">
        <v>406</v>
      </c>
      <c r="G322" s="100" t="s">
        <v>30</v>
      </c>
      <c r="H322" t="s">
        <v>2410</v>
      </c>
    </row>
    <row r="323" spans="1:8" ht="72.5">
      <c r="A323" s="103" t="s">
        <v>2420</v>
      </c>
      <c r="B323" s="103" t="str">
        <f t="shared" si="5"/>
        <v>F4</v>
      </c>
      <c r="C323" s="99">
        <v>1</v>
      </c>
      <c r="D323" s="100" t="s">
        <v>129</v>
      </c>
      <c r="E323" s="101" t="s">
        <v>2421</v>
      </c>
      <c r="F323" s="102" t="s">
        <v>406</v>
      </c>
      <c r="G323" s="100" t="s">
        <v>30</v>
      </c>
      <c r="H323" t="s">
        <v>2408</v>
      </c>
    </row>
    <row r="324" spans="1:8" ht="58">
      <c r="A324" s="103" t="s">
        <v>2420</v>
      </c>
      <c r="B324" s="103" t="str">
        <f t="shared" si="5"/>
        <v>F4</v>
      </c>
      <c r="C324" s="99">
        <v>1</v>
      </c>
      <c r="D324" s="100" t="s">
        <v>227</v>
      </c>
      <c r="E324" s="101" t="s">
        <v>2422</v>
      </c>
      <c r="F324" s="102" t="s">
        <v>406</v>
      </c>
      <c r="G324" s="100" t="s">
        <v>30</v>
      </c>
      <c r="H324" t="s">
        <v>2410</v>
      </c>
    </row>
    <row r="325" spans="1:8" ht="72.5">
      <c r="A325" s="103" t="s">
        <v>2423</v>
      </c>
      <c r="B325" s="103" t="str">
        <f t="shared" si="5"/>
        <v>F5</v>
      </c>
      <c r="C325" s="99">
        <v>1</v>
      </c>
      <c r="D325" s="100" t="s">
        <v>129</v>
      </c>
      <c r="E325" s="101" t="s">
        <v>2424</v>
      </c>
      <c r="F325" s="102" t="s">
        <v>406</v>
      </c>
      <c r="G325" s="100" t="s">
        <v>30</v>
      </c>
      <c r="H325" t="s">
        <v>2408</v>
      </c>
    </row>
    <row r="326" spans="1:8" ht="58">
      <c r="A326" s="103" t="s">
        <v>2423</v>
      </c>
      <c r="B326" s="103" t="str">
        <f t="shared" si="5"/>
        <v>F5</v>
      </c>
      <c r="C326" s="99">
        <v>1</v>
      </c>
      <c r="D326" s="100" t="s">
        <v>227</v>
      </c>
      <c r="E326" s="101" t="s">
        <v>2425</v>
      </c>
      <c r="F326" s="102" t="s">
        <v>406</v>
      </c>
      <c r="G326" s="100" t="s">
        <v>30</v>
      </c>
      <c r="H326" t="s">
        <v>2410</v>
      </c>
    </row>
    <row r="327" spans="1:8" ht="72.5">
      <c r="A327" s="103" t="s">
        <v>2426</v>
      </c>
      <c r="B327" s="103" t="str">
        <f t="shared" si="5"/>
        <v>F6</v>
      </c>
      <c r="C327" s="99">
        <v>1</v>
      </c>
      <c r="D327" s="100" t="s">
        <v>129</v>
      </c>
      <c r="E327" s="101" t="s">
        <v>2427</v>
      </c>
      <c r="F327" s="102" t="s">
        <v>406</v>
      </c>
      <c r="G327" s="100" t="s">
        <v>30</v>
      </c>
      <c r="H327" t="s">
        <v>2408</v>
      </c>
    </row>
    <row r="328" spans="1:8" ht="58">
      <c r="A328" s="103" t="s">
        <v>2426</v>
      </c>
      <c r="B328" s="103" t="str">
        <f t="shared" si="5"/>
        <v>F6</v>
      </c>
      <c r="C328" s="99">
        <v>1</v>
      </c>
      <c r="D328" s="100" t="s">
        <v>227</v>
      </c>
      <c r="E328" s="101" t="s">
        <v>2428</v>
      </c>
      <c r="F328" s="102" t="s">
        <v>406</v>
      </c>
      <c r="G328" s="100" t="s">
        <v>30</v>
      </c>
      <c r="H328" t="s">
        <v>2410</v>
      </c>
    </row>
    <row r="329" spans="1:8" ht="72.5">
      <c r="A329" s="103" t="s">
        <v>2429</v>
      </c>
      <c r="B329" s="103" t="str">
        <f t="shared" si="5"/>
        <v>F7</v>
      </c>
      <c r="C329" s="99">
        <v>1</v>
      </c>
      <c r="D329" s="100" t="s">
        <v>129</v>
      </c>
      <c r="E329" s="101" t="s">
        <v>2430</v>
      </c>
      <c r="F329" s="102" t="s">
        <v>406</v>
      </c>
      <c r="G329" s="100" t="s">
        <v>30</v>
      </c>
      <c r="H329" t="s">
        <v>2408</v>
      </c>
    </row>
    <row r="330" spans="1:8" ht="58">
      <c r="A330" s="103" t="s">
        <v>2429</v>
      </c>
      <c r="B330" s="103" t="str">
        <f t="shared" si="5"/>
        <v>F7</v>
      </c>
      <c r="C330" s="99">
        <v>1</v>
      </c>
      <c r="D330" s="100" t="s">
        <v>227</v>
      </c>
      <c r="E330" s="101" t="s">
        <v>2431</v>
      </c>
      <c r="F330" s="102" t="s">
        <v>406</v>
      </c>
      <c r="G330" s="100" t="s">
        <v>30</v>
      </c>
      <c r="H330" t="s">
        <v>2410</v>
      </c>
    </row>
    <row r="331" spans="1:8" ht="72.5">
      <c r="A331" s="103" t="s">
        <v>2432</v>
      </c>
      <c r="B331" s="103" t="str">
        <f t="shared" si="5"/>
        <v>F8</v>
      </c>
      <c r="C331" s="99">
        <v>1</v>
      </c>
      <c r="D331" s="100" t="s">
        <v>129</v>
      </c>
      <c r="E331" s="101" t="s">
        <v>2433</v>
      </c>
      <c r="F331" s="102" t="s">
        <v>406</v>
      </c>
      <c r="G331" s="100" t="s">
        <v>30</v>
      </c>
      <c r="H331" t="s">
        <v>2434</v>
      </c>
    </row>
    <row r="332" spans="1:8" ht="58">
      <c r="A332" s="103" t="s">
        <v>2432</v>
      </c>
      <c r="B332" s="103" t="str">
        <f t="shared" si="5"/>
        <v>F8</v>
      </c>
      <c r="C332" s="99">
        <v>1</v>
      </c>
      <c r="D332" s="100" t="s">
        <v>227</v>
      </c>
      <c r="E332" s="101" t="s">
        <v>2435</v>
      </c>
      <c r="F332" s="102" t="s">
        <v>406</v>
      </c>
      <c r="G332" s="100" t="s">
        <v>30</v>
      </c>
      <c r="H332" t="s">
        <v>2436</v>
      </c>
    </row>
    <row r="333" spans="1:8" ht="72.5">
      <c r="A333" s="103" t="s">
        <v>2437</v>
      </c>
      <c r="B333" s="103" t="str">
        <f t="shared" si="5"/>
        <v>F9</v>
      </c>
      <c r="C333" s="99">
        <v>1</v>
      </c>
      <c r="D333" s="100" t="s">
        <v>129</v>
      </c>
      <c r="E333" s="101" t="s">
        <v>2438</v>
      </c>
      <c r="F333" s="102" t="s">
        <v>406</v>
      </c>
      <c r="G333" s="100" t="s">
        <v>30</v>
      </c>
      <c r="H333" t="s">
        <v>2434</v>
      </c>
    </row>
    <row r="334" spans="1:8" ht="58">
      <c r="A334" s="103" t="s">
        <v>2437</v>
      </c>
      <c r="B334" s="103" t="str">
        <f t="shared" si="5"/>
        <v>F9</v>
      </c>
      <c r="C334" s="99">
        <v>1</v>
      </c>
      <c r="D334" s="100" t="s">
        <v>227</v>
      </c>
      <c r="E334" s="101" t="s">
        <v>2439</v>
      </c>
      <c r="F334" s="102" t="s">
        <v>406</v>
      </c>
      <c r="G334" s="100" t="s">
        <v>30</v>
      </c>
      <c r="H334" t="s">
        <v>2436</v>
      </c>
    </row>
    <row r="335" spans="1:8" ht="72.5">
      <c r="A335" s="103" t="s">
        <v>2440</v>
      </c>
      <c r="B335" s="103" t="str">
        <f t="shared" si="5"/>
        <v>FA</v>
      </c>
      <c r="C335" s="99">
        <v>1</v>
      </c>
      <c r="D335" s="100" t="s">
        <v>129</v>
      </c>
      <c r="E335" s="101" t="s">
        <v>2441</v>
      </c>
      <c r="F335" s="102" t="s">
        <v>406</v>
      </c>
      <c r="G335" s="100" t="s">
        <v>30</v>
      </c>
      <c r="H335" t="s">
        <v>2434</v>
      </c>
    </row>
    <row r="336" spans="1:8" ht="58">
      <c r="A336" s="103" t="s">
        <v>2440</v>
      </c>
      <c r="B336" s="103" t="str">
        <f t="shared" si="5"/>
        <v>FA</v>
      </c>
      <c r="C336" s="99">
        <v>1</v>
      </c>
      <c r="D336" s="100" t="s">
        <v>227</v>
      </c>
      <c r="E336" s="101" t="s">
        <v>2442</v>
      </c>
      <c r="F336" s="102" t="s">
        <v>406</v>
      </c>
      <c r="G336" s="100" t="s">
        <v>30</v>
      </c>
      <c r="H336" t="s">
        <v>2436</v>
      </c>
    </row>
    <row r="337" spans="1:8" ht="72.5">
      <c r="A337" s="103" t="s">
        <v>2443</v>
      </c>
      <c r="B337" s="103" t="str">
        <f t="shared" si="5"/>
        <v>FB</v>
      </c>
      <c r="C337" s="99">
        <v>1</v>
      </c>
      <c r="D337" s="100" t="s">
        <v>129</v>
      </c>
      <c r="E337" s="101" t="s">
        <v>2444</v>
      </c>
      <c r="F337" s="102" t="s">
        <v>406</v>
      </c>
      <c r="G337" s="100" t="s">
        <v>30</v>
      </c>
      <c r="H337" t="s">
        <v>2434</v>
      </c>
    </row>
    <row r="338" spans="1:8" ht="58">
      <c r="A338" s="103" t="s">
        <v>2443</v>
      </c>
      <c r="B338" s="103" t="str">
        <f t="shared" si="5"/>
        <v>FB</v>
      </c>
      <c r="C338" s="99">
        <v>1</v>
      </c>
      <c r="D338" s="100" t="s">
        <v>227</v>
      </c>
      <c r="E338" s="101" t="s">
        <v>2445</v>
      </c>
      <c r="F338" s="102" t="s">
        <v>406</v>
      </c>
      <c r="G338" s="100" t="s">
        <v>30</v>
      </c>
      <c r="H338" t="s">
        <v>2436</v>
      </c>
    </row>
    <row r="339" spans="1:8" ht="72.5">
      <c r="A339" s="103" t="s">
        <v>2446</v>
      </c>
      <c r="B339" s="103" t="str">
        <f t="shared" si="5"/>
        <v>FC</v>
      </c>
      <c r="C339" s="99">
        <v>1</v>
      </c>
      <c r="D339" s="100" t="s">
        <v>129</v>
      </c>
      <c r="E339" s="101" t="s">
        <v>2447</v>
      </c>
      <c r="F339" s="102" t="s">
        <v>406</v>
      </c>
      <c r="G339" s="100" t="s">
        <v>30</v>
      </c>
      <c r="H339" t="s">
        <v>2434</v>
      </c>
    </row>
    <row r="340" spans="1:8" ht="58">
      <c r="A340" s="103" t="s">
        <v>2446</v>
      </c>
      <c r="B340" s="103" t="str">
        <f t="shared" si="5"/>
        <v>FC</v>
      </c>
      <c r="C340" s="99">
        <v>1</v>
      </c>
      <c r="D340" s="100" t="s">
        <v>227</v>
      </c>
      <c r="E340" s="101" t="s">
        <v>2448</v>
      </c>
      <c r="F340" s="102" t="s">
        <v>406</v>
      </c>
      <c r="G340" s="100" t="s">
        <v>30</v>
      </c>
      <c r="H340" t="s">
        <v>2436</v>
      </c>
    </row>
    <row r="341" spans="1:8" ht="72.5">
      <c r="A341" s="103" t="s">
        <v>2449</v>
      </c>
      <c r="B341" s="103" t="str">
        <f t="shared" si="5"/>
        <v>FD</v>
      </c>
      <c r="C341" s="99">
        <v>1</v>
      </c>
      <c r="D341" s="100" t="s">
        <v>129</v>
      </c>
      <c r="E341" s="101" t="s">
        <v>2450</v>
      </c>
      <c r="F341" s="102" t="s">
        <v>406</v>
      </c>
      <c r="G341" s="100" t="s">
        <v>30</v>
      </c>
      <c r="H341" t="s">
        <v>2434</v>
      </c>
    </row>
    <row r="342" spans="1:8" ht="58">
      <c r="A342" s="103" t="s">
        <v>2449</v>
      </c>
      <c r="B342" s="103" t="str">
        <f t="shared" si="5"/>
        <v>FD</v>
      </c>
      <c r="C342" s="99">
        <v>1</v>
      </c>
      <c r="D342" s="100" t="s">
        <v>227</v>
      </c>
      <c r="E342" s="101" t="s">
        <v>2451</v>
      </c>
      <c r="F342" s="102" t="s">
        <v>406</v>
      </c>
      <c r="G342" s="100" t="s">
        <v>30</v>
      </c>
      <c r="H342" t="s">
        <v>2436</v>
      </c>
    </row>
    <row r="343" spans="1:8" ht="72.5">
      <c r="A343" s="103" t="s">
        <v>2452</v>
      </c>
      <c r="B343" s="103" t="str">
        <f t="shared" si="5"/>
        <v>FE</v>
      </c>
      <c r="C343" s="99">
        <v>1</v>
      </c>
      <c r="D343" s="100" t="s">
        <v>129</v>
      </c>
      <c r="E343" s="101" t="s">
        <v>2453</v>
      </c>
      <c r="F343" s="102" t="s">
        <v>406</v>
      </c>
      <c r="G343" s="100" t="s">
        <v>30</v>
      </c>
      <c r="H343" t="s">
        <v>2434</v>
      </c>
    </row>
    <row r="344" spans="1:8" ht="58">
      <c r="A344" s="103" t="s">
        <v>2452</v>
      </c>
      <c r="B344" s="103" t="str">
        <f t="shared" si="5"/>
        <v>FE</v>
      </c>
      <c r="C344" s="99">
        <v>1</v>
      </c>
      <c r="D344" s="100" t="s">
        <v>227</v>
      </c>
      <c r="E344" s="101" t="s">
        <v>2454</v>
      </c>
      <c r="F344" s="102" t="s">
        <v>406</v>
      </c>
      <c r="G344" s="100" t="s">
        <v>30</v>
      </c>
      <c r="H344" t="s">
        <v>2436</v>
      </c>
    </row>
    <row r="345" spans="1:8" ht="72.5">
      <c r="A345" s="103" t="s">
        <v>2455</v>
      </c>
      <c r="B345" s="103" t="str">
        <f t="shared" si="5"/>
        <v>FF</v>
      </c>
      <c r="C345" s="99">
        <v>1</v>
      </c>
      <c r="D345" s="100" t="s">
        <v>129</v>
      </c>
      <c r="E345" s="101" t="s">
        <v>2456</v>
      </c>
      <c r="F345" s="102" t="s">
        <v>406</v>
      </c>
      <c r="G345" s="100" t="s">
        <v>30</v>
      </c>
      <c r="H345" t="s">
        <v>2434</v>
      </c>
    </row>
    <row r="346" spans="1:8" ht="58">
      <c r="A346" s="103" t="s">
        <v>2455</v>
      </c>
      <c r="B346" s="103" t="str">
        <f t="shared" si="5"/>
        <v>FF</v>
      </c>
      <c r="C346" s="99">
        <v>1</v>
      </c>
      <c r="D346" s="100" t="s">
        <v>227</v>
      </c>
      <c r="E346" s="101" t="s">
        <v>2457</v>
      </c>
      <c r="F346" s="102" t="s">
        <v>406</v>
      </c>
      <c r="G346" s="100" t="s">
        <v>30</v>
      </c>
      <c r="H346" t="s">
        <v>2436</v>
      </c>
    </row>
  </sheetData>
  <autoFilter ref="A1:H346" xr:uid="{00000000-0009-0000-0000-00000C000000}"/>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Change history</vt:lpstr>
      <vt:lpstr>Threshold summary</vt:lpstr>
      <vt:lpstr>Lower Memory</vt:lpstr>
      <vt:lpstr>Page 00h</vt:lpstr>
      <vt:lpstr>Page 01h</vt:lpstr>
      <vt:lpstr>Page 02h</vt:lpstr>
      <vt:lpstr>Page 03h</vt:lpstr>
      <vt:lpstr>Page 13h</vt:lpstr>
      <vt:lpstr>VDM thresholds</vt:lpstr>
      <vt:lpstr>CDB</vt:lpstr>
      <vt:lpstr>Page 2Fh</vt:lpstr>
      <vt:lpstr>Page 10h</vt:lpstr>
      <vt:lpstr>Page 11h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Manas Kottakota</cp:lastModifiedBy>
  <dcterms:created xsi:type="dcterms:W3CDTF">2015-06-05T18:19:34Z</dcterms:created>
  <dcterms:modified xsi:type="dcterms:W3CDTF">2026-08-03T17:42:27Z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0x0101003FD7F15194E43B4B81E0AF4138CEF737</vt:lpwstr>
  </property>
  <property fmtid="{D5CDD505-2E9C-101B-9397-08002B2CF9AE}" pid="3" name="MediaServiceImageTags">
    <vt:lpwstr/>
  </property>
</Properties>
</file>